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_Python\kpis_carteira\outputs\"/>
    </mc:Choice>
  </mc:AlternateContent>
  <xr:revisionPtr revIDLastSave="0" documentId="13_ncr:1_{38AB390F-2158-4E87-8ECE-ECEDE4834B1C}" xr6:coauthVersionLast="47" xr6:coauthVersionMax="47" xr10:uidLastSave="{00000000-0000-0000-0000-000000000000}"/>
  <bookViews>
    <workbookView xWindow="-120" yWindow="-120" windowWidth="20730" windowHeight="11040" xr2:uid="{6F69F660-98EB-4076-96B2-E124712A5C7D}"/>
  </bookViews>
  <sheets>
    <sheet name="Cell output 5 (DW)" sheetId="1" r:id="rId1"/>
    <sheet name="CVar" sheetId="2" r:id="rId2"/>
  </sheets>
  <definedNames>
    <definedName name="_xlnm._FilterDatabase" localSheetId="0" hidden="1">'Cell output 5 (DW)'!$A$1:$O$182</definedName>
    <definedName name="_xlnm._FilterDatabase" localSheetId="1" hidden="1">CVar!$A$1:$I$182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4" i="1" l="1"/>
  <c r="Q184" i="1"/>
  <c r="P184" i="1"/>
  <c r="B200" i="1"/>
  <c r="B192" i="1"/>
  <c r="E217" i="1"/>
  <c r="B217" i="1"/>
  <c r="E215" i="1"/>
  <c r="B215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2" i="1"/>
  <c r="AG3" i="1" l="1"/>
  <c r="AG4" i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G12" i="1"/>
  <c r="AH12" i="1" s="1"/>
  <c r="AG13" i="1"/>
  <c r="AH13" i="1" s="1"/>
  <c r="AG14" i="1"/>
  <c r="AH14" i="1" s="1"/>
  <c r="AG15" i="1"/>
  <c r="AG16" i="1"/>
  <c r="AG17" i="1"/>
  <c r="AH17" i="1" s="1"/>
  <c r="AG18" i="1"/>
  <c r="AH18" i="1" s="1"/>
  <c r="AG19" i="1"/>
  <c r="AG20" i="1"/>
  <c r="AH20" i="1" s="1"/>
  <c r="AG21" i="1"/>
  <c r="AH21" i="1" s="1"/>
  <c r="AG22" i="1"/>
  <c r="AH22" i="1" s="1"/>
  <c r="AG23" i="1"/>
  <c r="AG24" i="1"/>
  <c r="AG25" i="1"/>
  <c r="AH25" i="1" s="1"/>
  <c r="AG26" i="1"/>
  <c r="AH26" i="1" s="1"/>
  <c r="AG27" i="1"/>
  <c r="AH27" i="1" s="1"/>
  <c r="AG28" i="1"/>
  <c r="AG29" i="1"/>
  <c r="AH29" i="1" s="1"/>
  <c r="AG30" i="1"/>
  <c r="AH30" i="1" s="1"/>
  <c r="AG31" i="1"/>
  <c r="AH31" i="1" s="1"/>
  <c r="AG32" i="1"/>
  <c r="AG33" i="1"/>
  <c r="AH33" i="1" s="1"/>
  <c r="AG34" i="1"/>
  <c r="AH34" i="1" s="1"/>
  <c r="AG35" i="1"/>
  <c r="AH35" i="1" s="1"/>
  <c r="AG36" i="1"/>
  <c r="AG37" i="1"/>
  <c r="AH37" i="1" s="1"/>
  <c r="AG38" i="1"/>
  <c r="AH38" i="1" s="1"/>
  <c r="AG39" i="1"/>
  <c r="AG40" i="1"/>
  <c r="AG41" i="1"/>
  <c r="AH41" i="1" s="1"/>
  <c r="AG42" i="1"/>
  <c r="AH42" i="1" s="1"/>
  <c r="AG43" i="1"/>
  <c r="AH43" i="1" s="1"/>
  <c r="AG44" i="1"/>
  <c r="AG45" i="1"/>
  <c r="AH45" i="1" s="1"/>
  <c r="AG46" i="1"/>
  <c r="AH46" i="1" s="1"/>
  <c r="AG47" i="1"/>
  <c r="AH47" i="1" s="1"/>
  <c r="AG48" i="1"/>
  <c r="AG49" i="1"/>
  <c r="AH49" i="1" s="1"/>
  <c r="AG50" i="1"/>
  <c r="AH50" i="1" s="1"/>
  <c r="AG51" i="1"/>
  <c r="AG52" i="1"/>
  <c r="AH52" i="1" s="1"/>
  <c r="AG53" i="1"/>
  <c r="AH53" i="1" s="1"/>
  <c r="AG54" i="1"/>
  <c r="AH54" i="1" s="1"/>
  <c r="AG55" i="1"/>
  <c r="AG56" i="1"/>
  <c r="AH56" i="1" s="1"/>
  <c r="AG57" i="1"/>
  <c r="AH57" i="1" s="1"/>
  <c r="AG58" i="1"/>
  <c r="AH58" i="1" s="1"/>
  <c r="AG59" i="1"/>
  <c r="AG60" i="1"/>
  <c r="AH60" i="1" s="1"/>
  <c r="AG61" i="1"/>
  <c r="AH61" i="1" s="1"/>
  <c r="AG62" i="1"/>
  <c r="AH62" i="1" s="1"/>
  <c r="AG63" i="1"/>
  <c r="AH63" i="1" s="1"/>
  <c r="AG64" i="1"/>
  <c r="AG65" i="1"/>
  <c r="AH65" i="1" s="1"/>
  <c r="AG66" i="1"/>
  <c r="AH66" i="1" s="1"/>
  <c r="AG67" i="1"/>
  <c r="AG68" i="1"/>
  <c r="AG69" i="1"/>
  <c r="AH69" i="1" s="1"/>
  <c r="AG70" i="1"/>
  <c r="AH70" i="1" s="1"/>
  <c r="AG71" i="1"/>
  <c r="AG72" i="1"/>
  <c r="AG73" i="1"/>
  <c r="AH73" i="1" s="1"/>
  <c r="AG74" i="1"/>
  <c r="AH74" i="1" s="1"/>
  <c r="AG75" i="1"/>
  <c r="AG76" i="1"/>
  <c r="AH76" i="1" s="1"/>
  <c r="AG77" i="1"/>
  <c r="AH77" i="1" s="1"/>
  <c r="AG78" i="1"/>
  <c r="AH78" i="1" s="1"/>
  <c r="AG79" i="1"/>
  <c r="AH79" i="1" s="1"/>
  <c r="AG80" i="1"/>
  <c r="AG81" i="1"/>
  <c r="AH81" i="1" s="1"/>
  <c r="AG82" i="1"/>
  <c r="AH82" i="1" s="1"/>
  <c r="AG83" i="1"/>
  <c r="AG84" i="1"/>
  <c r="AH84" i="1" s="1"/>
  <c r="AG85" i="1"/>
  <c r="AH85" i="1" s="1"/>
  <c r="AG86" i="1"/>
  <c r="AH86" i="1" s="1"/>
  <c r="AG87" i="1"/>
  <c r="AH87" i="1" s="1"/>
  <c r="AG88" i="1"/>
  <c r="AH88" i="1" s="1"/>
  <c r="AG89" i="1"/>
  <c r="AH89" i="1" s="1"/>
  <c r="AG90" i="1"/>
  <c r="AH90" i="1" s="1"/>
  <c r="AG91" i="1"/>
  <c r="AG92" i="1"/>
  <c r="AH92" i="1" s="1"/>
  <c r="AG93" i="1"/>
  <c r="AH93" i="1" s="1"/>
  <c r="AG94" i="1"/>
  <c r="AH94" i="1" s="1"/>
  <c r="AG95" i="1"/>
  <c r="AH95" i="1" s="1"/>
  <c r="AG96" i="1"/>
  <c r="AH96" i="1" s="1"/>
  <c r="AG97" i="1"/>
  <c r="AH97" i="1" s="1"/>
  <c r="AG98" i="1"/>
  <c r="AH98" i="1" s="1"/>
  <c r="AG99" i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G108" i="1"/>
  <c r="AH108" i="1" s="1"/>
  <c r="AG109" i="1"/>
  <c r="AH109" i="1" s="1"/>
  <c r="AG110" i="1"/>
  <c r="AH110" i="1" s="1"/>
  <c r="AG111" i="1"/>
  <c r="AG112" i="1"/>
  <c r="AH112" i="1" s="1"/>
  <c r="AG113" i="1"/>
  <c r="AH113" i="1" s="1"/>
  <c r="AG114" i="1"/>
  <c r="AH114" i="1" s="1"/>
  <c r="AG115" i="1"/>
  <c r="AH115" i="1" s="1"/>
  <c r="AG116" i="1"/>
  <c r="AG117" i="1"/>
  <c r="AH117" i="1" s="1"/>
  <c r="AG118" i="1"/>
  <c r="AH118" i="1" s="1"/>
  <c r="AG119" i="1"/>
  <c r="AH119" i="1" s="1"/>
  <c r="AG120" i="1"/>
  <c r="AG121" i="1"/>
  <c r="AH121" i="1" s="1"/>
  <c r="AG122" i="1"/>
  <c r="AH122" i="1" s="1"/>
  <c r="AG123" i="1"/>
  <c r="AH123" i="1" s="1"/>
  <c r="AG124" i="1"/>
  <c r="AH124" i="1" s="1"/>
  <c r="AG125" i="1"/>
  <c r="AH125" i="1" s="1"/>
  <c r="AG126" i="1"/>
  <c r="AH126" i="1" s="1"/>
  <c r="AG127" i="1"/>
  <c r="AG128" i="1"/>
  <c r="AH128" i="1" s="1"/>
  <c r="AG129" i="1"/>
  <c r="AH129" i="1" s="1"/>
  <c r="AG130" i="1"/>
  <c r="AH130" i="1" s="1"/>
  <c r="AG131" i="1"/>
  <c r="AG132" i="1"/>
  <c r="AG133" i="1"/>
  <c r="AH133" i="1" s="1"/>
  <c r="AG134" i="1"/>
  <c r="AH134" i="1" s="1"/>
  <c r="AG135" i="1"/>
  <c r="AG136" i="1"/>
  <c r="AG137" i="1"/>
  <c r="AH137" i="1" s="1"/>
  <c r="AG138" i="1"/>
  <c r="AH138" i="1" s="1"/>
  <c r="AG139" i="1"/>
  <c r="AG140" i="1"/>
  <c r="AG141" i="1"/>
  <c r="AH141" i="1" s="1"/>
  <c r="AG142" i="1"/>
  <c r="AH142" i="1" s="1"/>
  <c r="AG143" i="1"/>
  <c r="AH143" i="1" s="1"/>
  <c r="AG144" i="1"/>
  <c r="AG145" i="1"/>
  <c r="AH145" i="1" s="1"/>
  <c r="AG146" i="1"/>
  <c r="AH146" i="1" s="1"/>
  <c r="AG147" i="1"/>
  <c r="AG148" i="1"/>
  <c r="AH148" i="1" s="1"/>
  <c r="AG149" i="1"/>
  <c r="AH149" i="1" s="1"/>
  <c r="AG150" i="1"/>
  <c r="AH150" i="1" s="1"/>
  <c r="AG151" i="1"/>
  <c r="AG152" i="1"/>
  <c r="AG153" i="1"/>
  <c r="AH153" i="1" s="1"/>
  <c r="AG154" i="1"/>
  <c r="AH154" i="1" s="1"/>
  <c r="AG155" i="1"/>
  <c r="AH155" i="1" s="1"/>
  <c r="AG156" i="1"/>
  <c r="AG157" i="1"/>
  <c r="AH157" i="1" s="1"/>
  <c r="AG158" i="1"/>
  <c r="AH158" i="1" s="1"/>
  <c r="AG159" i="1"/>
  <c r="AH159" i="1" s="1"/>
  <c r="AG160" i="1"/>
  <c r="AG161" i="1"/>
  <c r="AH161" i="1" s="1"/>
  <c r="AG162" i="1"/>
  <c r="AH162" i="1" s="1"/>
  <c r="AG163" i="1"/>
  <c r="AG164" i="1"/>
  <c r="AH164" i="1" s="1"/>
  <c r="AG165" i="1"/>
  <c r="AH165" i="1" s="1"/>
  <c r="AG166" i="1"/>
  <c r="AH166" i="1" s="1"/>
  <c r="AG167" i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G175" i="1"/>
  <c r="AG176" i="1"/>
  <c r="AH176" i="1" s="1"/>
  <c r="AG177" i="1"/>
  <c r="AH177" i="1" s="1"/>
  <c r="AG178" i="1"/>
  <c r="AH178" i="1" s="1"/>
  <c r="AG179" i="1"/>
  <c r="AG180" i="1"/>
  <c r="AH180" i="1" s="1"/>
  <c r="AG181" i="1"/>
  <c r="AH181" i="1" s="1"/>
  <c r="AG182" i="1"/>
  <c r="AH182" i="1" s="1"/>
  <c r="AG2" i="1"/>
  <c r="AH2" i="1" s="1"/>
  <c r="AE3" i="1"/>
  <c r="AE4" i="1"/>
  <c r="AF4" i="1" s="1"/>
  <c r="AE5" i="1"/>
  <c r="AF5" i="1" s="1"/>
  <c r="AE6" i="1"/>
  <c r="AF6" i="1" s="1"/>
  <c r="AE7" i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E66" i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E98" i="1"/>
  <c r="AF98" i="1" s="1"/>
  <c r="AE99" i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E108" i="1"/>
  <c r="AF108" i="1" s="1"/>
  <c r="AE109" i="1"/>
  <c r="AF109" i="1" s="1"/>
  <c r="AE110" i="1"/>
  <c r="AF110" i="1" s="1"/>
  <c r="AE111" i="1"/>
  <c r="AE112" i="1"/>
  <c r="AF112" i="1" s="1"/>
  <c r="AE113" i="1"/>
  <c r="AF113" i="1" s="1"/>
  <c r="AE114" i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E130" i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E176" i="1"/>
  <c r="AF176" i="1" s="1"/>
  <c r="AE177" i="1"/>
  <c r="AF177" i="1" s="1"/>
  <c r="AE178" i="1"/>
  <c r="AF178" i="1" s="1"/>
  <c r="AE179" i="1"/>
  <c r="AE180" i="1"/>
  <c r="AF180" i="1" s="1"/>
  <c r="AE181" i="1"/>
  <c r="AF181" i="1" s="1"/>
  <c r="AE182" i="1"/>
  <c r="AF182" i="1" s="1"/>
  <c r="AF18" i="1"/>
  <c r="AF33" i="1"/>
  <c r="AF65" i="1"/>
  <c r="AF66" i="1"/>
  <c r="AF97" i="1"/>
  <c r="AF114" i="1"/>
  <c r="AF129" i="1"/>
  <c r="AF130" i="1"/>
  <c r="AF161" i="1"/>
  <c r="AE2" i="1"/>
  <c r="AF2" i="1" s="1"/>
  <c r="AC3" i="1"/>
  <c r="AD3" i="1" s="1"/>
  <c r="AC4" i="1"/>
  <c r="AD4" i="1" s="1"/>
  <c r="AC5" i="1"/>
  <c r="AD5" i="1" s="1"/>
  <c r="AC6" i="1"/>
  <c r="AC7" i="1"/>
  <c r="AD7" i="1" s="1"/>
  <c r="AC8" i="1"/>
  <c r="AD8" i="1" s="1"/>
  <c r="AC9" i="1"/>
  <c r="AD9" i="1" s="1"/>
  <c r="AC10" i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C35" i="1"/>
  <c r="AD35" i="1" s="1"/>
  <c r="AC36" i="1"/>
  <c r="AD36" i="1" s="1"/>
  <c r="AC37" i="1"/>
  <c r="AC38" i="1"/>
  <c r="AD38" i="1" s="1"/>
  <c r="AC39" i="1"/>
  <c r="AD39" i="1" s="1"/>
  <c r="AC40" i="1"/>
  <c r="AD40" i="1" s="1"/>
  <c r="AC41" i="1"/>
  <c r="AC42" i="1"/>
  <c r="AD42" i="1" s="1"/>
  <c r="AC43" i="1"/>
  <c r="AD43" i="1" s="1"/>
  <c r="AC44" i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64" i="1"/>
  <c r="AC65" i="1"/>
  <c r="AD65" i="1" s="1"/>
  <c r="AC66" i="1"/>
  <c r="AD66" i="1" s="1"/>
  <c r="AC67" i="1"/>
  <c r="AD67" i="1" s="1"/>
  <c r="AC68" i="1"/>
  <c r="AD68" i="1" s="1"/>
  <c r="AC69" i="1"/>
  <c r="AC70" i="1"/>
  <c r="AD70" i="1" s="1"/>
  <c r="AC71" i="1"/>
  <c r="AD71" i="1" s="1"/>
  <c r="AC72" i="1"/>
  <c r="AD72" i="1" s="1"/>
  <c r="AC73" i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D79" i="1" s="1"/>
  <c r="AC80" i="1"/>
  <c r="AC81" i="1"/>
  <c r="AD81" i="1" s="1"/>
  <c r="AC82" i="1"/>
  <c r="AD82" i="1" s="1"/>
  <c r="AC83" i="1"/>
  <c r="AD83" i="1" s="1"/>
  <c r="AC84" i="1"/>
  <c r="AD84" i="1" s="1"/>
  <c r="AC85" i="1"/>
  <c r="AD85" i="1" s="1"/>
  <c r="AC86" i="1"/>
  <c r="AD86" i="1" s="1"/>
  <c r="AC87" i="1"/>
  <c r="AD87" i="1" s="1"/>
  <c r="AC88" i="1"/>
  <c r="AC89" i="1"/>
  <c r="AD89" i="1" s="1"/>
  <c r="AC90" i="1"/>
  <c r="AD90" i="1" s="1"/>
  <c r="AC91" i="1"/>
  <c r="AD91" i="1" s="1"/>
  <c r="AC92" i="1"/>
  <c r="AD92" i="1" s="1"/>
  <c r="AC93" i="1"/>
  <c r="AD93" i="1" s="1"/>
  <c r="AC94" i="1"/>
  <c r="AC95" i="1"/>
  <c r="AD95" i="1" s="1"/>
  <c r="AC96" i="1"/>
  <c r="AC97" i="1"/>
  <c r="AD97" i="1" s="1"/>
  <c r="AC98" i="1"/>
  <c r="AD98" i="1" s="1"/>
  <c r="AC99" i="1"/>
  <c r="AD99" i="1" s="1"/>
  <c r="AC100" i="1"/>
  <c r="AD100" i="1" s="1"/>
  <c r="AC101" i="1"/>
  <c r="AD101" i="1" s="1"/>
  <c r="AC102" i="1"/>
  <c r="AC103" i="1"/>
  <c r="AD103" i="1" s="1"/>
  <c r="AC104" i="1"/>
  <c r="AC105" i="1"/>
  <c r="AD105" i="1" s="1"/>
  <c r="AC106" i="1"/>
  <c r="AD106" i="1" s="1"/>
  <c r="AC107" i="1"/>
  <c r="AD107" i="1" s="1"/>
  <c r="AC108" i="1"/>
  <c r="AD108" i="1" s="1"/>
  <c r="AC109" i="1"/>
  <c r="AD109" i="1" s="1"/>
  <c r="AC110" i="1"/>
  <c r="AD110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C123" i="1"/>
  <c r="AD123" i="1" s="1"/>
  <c r="AC124" i="1"/>
  <c r="AC125" i="1"/>
  <c r="AD125" i="1" s="1"/>
  <c r="AC126" i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C134" i="1"/>
  <c r="AD134" i="1" s="1"/>
  <c r="AC135" i="1"/>
  <c r="AD135" i="1" s="1"/>
  <c r="AC136" i="1"/>
  <c r="AD136" i="1" s="1"/>
  <c r="AC137" i="1"/>
  <c r="AC138" i="1"/>
  <c r="AD138" i="1" s="1"/>
  <c r="AC139" i="1"/>
  <c r="AD139" i="1" s="1"/>
  <c r="AC140" i="1"/>
  <c r="AD140" i="1" s="1"/>
  <c r="AC141" i="1"/>
  <c r="AD141" i="1" s="1"/>
  <c r="AC142" i="1"/>
  <c r="AD142" i="1" s="1"/>
  <c r="AC143" i="1"/>
  <c r="AD143" i="1" s="1"/>
  <c r="AC144" i="1"/>
  <c r="AC145" i="1"/>
  <c r="AD145" i="1" s="1"/>
  <c r="AC146" i="1"/>
  <c r="AC147" i="1"/>
  <c r="AD147" i="1" s="1"/>
  <c r="AC148" i="1"/>
  <c r="AD148" i="1" s="1"/>
  <c r="AC149" i="1"/>
  <c r="AD149" i="1" s="1"/>
  <c r="AC150" i="1"/>
  <c r="AC151" i="1"/>
  <c r="AD151" i="1" s="1"/>
  <c r="AC152" i="1"/>
  <c r="AD152" i="1" s="1"/>
  <c r="AC153" i="1"/>
  <c r="AD153" i="1" s="1"/>
  <c r="AC154" i="1"/>
  <c r="AC155" i="1"/>
  <c r="AD155" i="1" s="1"/>
  <c r="AC156" i="1"/>
  <c r="AD156" i="1" s="1"/>
  <c r="AC157" i="1"/>
  <c r="AD157" i="1" s="1"/>
  <c r="AC158" i="1"/>
  <c r="AC159" i="1"/>
  <c r="AD159" i="1" s="1"/>
  <c r="AC160" i="1"/>
  <c r="AD160" i="1" s="1"/>
  <c r="AC161" i="1"/>
  <c r="AD161" i="1" s="1"/>
  <c r="AC162" i="1"/>
  <c r="AC163" i="1"/>
  <c r="AD163" i="1" s="1"/>
  <c r="AC164" i="1"/>
  <c r="AD164" i="1" s="1"/>
  <c r="AC165" i="1"/>
  <c r="AD165" i="1" s="1"/>
  <c r="AC166" i="1"/>
  <c r="AD166" i="1" s="1"/>
  <c r="AC167" i="1"/>
  <c r="AC168" i="1"/>
  <c r="AD168" i="1" s="1"/>
  <c r="AC169" i="1"/>
  <c r="AD169" i="1" s="1"/>
  <c r="AC170" i="1"/>
  <c r="AC171" i="1"/>
  <c r="AD171" i="1" s="1"/>
  <c r="AC172" i="1"/>
  <c r="AC173" i="1"/>
  <c r="AD173" i="1" s="1"/>
  <c r="AC174" i="1"/>
  <c r="AD174" i="1" s="1"/>
  <c r="AC175" i="1"/>
  <c r="AD175" i="1" s="1"/>
  <c r="AC176" i="1"/>
  <c r="AD176" i="1" s="1"/>
  <c r="AC177" i="1"/>
  <c r="AD177" i="1" s="1"/>
  <c r="AC178" i="1"/>
  <c r="AC179" i="1"/>
  <c r="AD179" i="1" s="1"/>
  <c r="AC180" i="1"/>
  <c r="AD180" i="1" s="1"/>
  <c r="AC181" i="1"/>
  <c r="AD181" i="1" s="1"/>
  <c r="AC182" i="1"/>
  <c r="AD182" i="1" s="1"/>
  <c r="AC2" i="1"/>
  <c r="AD2" i="1" s="1"/>
  <c r="AH179" i="1"/>
  <c r="AF179" i="1"/>
  <c r="AD178" i="1"/>
  <c r="AH175" i="1"/>
  <c r="AF175" i="1"/>
  <c r="AH174" i="1"/>
  <c r="AD172" i="1"/>
  <c r="AD170" i="1"/>
  <c r="AH167" i="1"/>
  <c r="AF167" i="1"/>
  <c r="AD167" i="1"/>
  <c r="AH163" i="1"/>
  <c r="AD162" i="1"/>
  <c r="AH160" i="1"/>
  <c r="AD158" i="1"/>
  <c r="AH156" i="1"/>
  <c r="AD154" i="1"/>
  <c r="AH152" i="1"/>
  <c r="AH151" i="1"/>
  <c r="AF151" i="1"/>
  <c r="AD150" i="1"/>
  <c r="AH147" i="1"/>
  <c r="AD146" i="1"/>
  <c r="AH144" i="1"/>
  <c r="AD144" i="1"/>
  <c r="AH140" i="1"/>
  <c r="AH139" i="1"/>
  <c r="AD137" i="1"/>
  <c r="AH136" i="1"/>
  <c r="AH135" i="1"/>
  <c r="AD133" i="1"/>
  <c r="AH132" i="1"/>
  <c r="AH131" i="1"/>
  <c r="AH127" i="1"/>
  <c r="AD126" i="1"/>
  <c r="AD124" i="1"/>
  <c r="AD122" i="1"/>
  <c r="AH120" i="1"/>
  <c r="AH116" i="1"/>
  <c r="AD116" i="1"/>
  <c r="AH111" i="1"/>
  <c r="AF111" i="1"/>
  <c r="AH107" i="1"/>
  <c r="AF107" i="1"/>
  <c r="AD104" i="1"/>
  <c r="AD102" i="1"/>
  <c r="AH99" i="1"/>
  <c r="AF99" i="1"/>
  <c r="AD96" i="1"/>
  <c r="AD94" i="1"/>
  <c r="AH91" i="1"/>
  <c r="AF91" i="1"/>
  <c r="AD88" i="1"/>
  <c r="AH83" i="1"/>
  <c r="AH80" i="1"/>
  <c r="AD80" i="1"/>
  <c r="AH75" i="1"/>
  <c r="AF75" i="1"/>
  <c r="AD73" i="1"/>
  <c r="AH72" i="1"/>
  <c r="AH71" i="1"/>
  <c r="AD69" i="1"/>
  <c r="AH68" i="1"/>
  <c r="AH67" i="1"/>
  <c r="AH64" i="1"/>
  <c r="AD64" i="1"/>
  <c r="AH59" i="1"/>
  <c r="AF59" i="1"/>
  <c r="AH55" i="1"/>
  <c r="AD54" i="1"/>
  <c r="AH51" i="1"/>
  <c r="AF51" i="1"/>
  <c r="AH48" i="1"/>
  <c r="AH44" i="1"/>
  <c r="AD44" i="1"/>
  <c r="AD41" i="1"/>
  <c r="AH40" i="1"/>
  <c r="AH39" i="1"/>
  <c r="AD37" i="1"/>
  <c r="AH36" i="1"/>
  <c r="AD34" i="1"/>
  <c r="AH32" i="1"/>
  <c r="AH28" i="1"/>
  <c r="AD28" i="1"/>
  <c r="AH24" i="1"/>
  <c r="AH23" i="1"/>
  <c r="AH19" i="1"/>
  <c r="AH16" i="1"/>
  <c r="AH15" i="1"/>
  <c r="AH11" i="1"/>
  <c r="AD10" i="1"/>
  <c r="AF7" i="1"/>
  <c r="AD6" i="1"/>
  <c r="AH4" i="1"/>
  <c r="AH3" i="1"/>
  <c r="AF3" i="1"/>
  <c r="AD184" i="1" l="1"/>
  <c r="AF184" i="1"/>
  <c r="AH184" i="1"/>
  <c r="B194" i="1"/>
  <c r="T2" i="1" l="1"/>
  <c r="W2" i="1" l="1"/>
  <c r="X2" i="1" s="1"/>
  <c r="V3" i="1"/>
  <c r="AA3" i="1" s="1"/>
  <c r="AB3" i="1" s="1"/>
  <c r="V4" i="1"/>
  <c r="AA4" i="1" s="1"/>
  <c r="AB4" i="1" s="1"/>
  <c r="V5" i="1"/>
  <c r="AA5" i="1" s="1"/>
  <c r="AB5" i="1" s="1"/>
  <c r="V6" i="1"/>
  <c r="AA6" i="1" s="1"/>
  <c r="AB6" i="1" s="1"/>
  <c r="V7" i="1"/>
  <c r="AA7" i="1" s="1"/>
  <c r="AB7" i="1" s="1"/>
  <c r="V8" i="1"/>
  <c r="AA8" i="1" s="1"/>
  <c r="AB8" i="1" s="1"/>
  <c r="V9" i="1"/>
  <c r="AA9" i="1" s="1"/>
  <c r="AB9" i="1" s="1"/>
  <c r="V10" i="1"/>
  <c r="AA10" i="1" s="1"/>
  <c r="AB10" i="1" s="1"/>
  <c r="V11" i="1"/>
  <c r="AA11" i="1" s="1"/>
  <c r="AB11" i="1" s="1"/>
  <c r="V12" i="1"/>
  <c r="AA12" i="1" s="1"/>
  <c r="AB12" i="1" s="1"/>
  <c r="V13" i="1"/>
  <c r="AA13" i="1" s="1"/>
  <c r="AB13" i="1" s="1"/>
  <c r="V14" i="1"/>
  <c r="AA14" i="1" s="1"/>
  <c r="AB14" i="1" s="1"/>
  <c r="V15" i="1"/>
  <c r="AA15" i="1" s="1"/>
  <c r="AB15" i="1" s="1"/>
  <c r="V16" i="1"/>
  <c r="AA16" i="1" s="1"/>
  <c r="AB16" i="1" s="1"/>
  <c r="V17" i="1"/>
  <c r="AA17" i="1" s="1"/>
  <c r="AB17" i="1" s="1"/>
  <c r="V18" i="1"/>
  <c r="AA18" i="1" s="1"/>
  <c r="AB18" i="1" s="1"/>
  <c r="V19" i="1"/>
  <c r="AA19" i="1" s="1"/>
  <c r="AB19" i="1" s="1"/>
  <c r="V20" i="1"/>
  <c r="AA20" i="1" s="1"/>
  <c r="AB20" i="1" s="1"/>
  <c r="V21" i="1"/>
  <c r="AA21" i="1" s="1"/>
  <c r="AB21" i="1" s="1"/>
  <c r="V22" i="1"/>
  <c r="AA22" i="1" s="1"/>
  <c r="AB22" i="1" s="1"/>
  <c r="V23" i="1"/>
  <c r="AA23" i="1" s="1"/>
  <c r="AB23" i="1" s="1"/>
  <c r="V24" i="1"/>
  <c r="AA24" i="1" s="1"/>
  <c r="AB24" i="1" s="1"/>
  <c r="V25" i="1"/>
  <c r="AA25" i="1" s="1"/>
  <c r="AB25" i="1" s="1"/>
  <c r="V26" i="1"/>
  <c r="AA26" i="1" s="1"/>
  <c r="AB26" i="1" s="1"/>
  <c r="V27" i="1"/>
  <c r="AA27" i="1" s="1"/>
  <c r="AB27" i="1" s="1"/>
  <c r="V28" i="1"/>
  <c r="AA28" i="1" s="1"/>
  <c r="AB28" i="1" s="1"/>
  <c r="V29" i="1"/>
  <c r="AA29" i="1" s="1"/>
  <c r="AB29" i="1" s="1"/>
  <c r="V30" i="1"/>
  <c r="AA30" i="1" s="1"/>
  <c r="AB30" i="1" s="1"/>
  <c r="V31" i="1"/>
  <c r="AA31" i="1" s="1"/>
  <c r="AB31" i="1" s="1"/>
  <c r="V32" i="1"/>
  <c r="AA32" i="1" s="1"/>
  <c r="AB32" i="1" s="1"/>
  <c r="V33" i="1"/>
  <c r="AA33" i="1" s="1"/>
  <c r="AB33" i="1" s="1"/>
  <c r="V34" i="1"/>
  <c r="AA34" i="1" s="1"/>
  <c r="AB34" i="1" s="1"/>
  <c r="V35" i="1"/>
  <c r="AA35" i="1" s="1"/>
  <c r="AB35" i="1" s="1"/>
  <c r="V36" i="1"/>
  <c r="AA36" i="1" s="1"/>
  <c r="AB36" i="1" s="1"/>
  <c r="V37" i="1"/>
  <c r="AA37" i="1" s="1"/>
  <c r="AB37" i="1" s="1"/>
  <c r="V38" i="1"/>
  <c r="AA38" i="1" s="1"/>
  <c r="AB38" i="1" s="1"/>
  <c r="V39" i="1"/>
  <c r="AA39" i="1" s="1"/>
  <c r="AB39" i="1" s="1"/>
  <c r="V40" i="1"/>
  <c r="AA40" i="1" s="1"/>
  <c r="AB40" i="1" s="1"/>
  <c r="V41" i="1"/>
  <c r="AA41" i="1" s="1"/>
  <c r="AB41" i="1" s="1"/>
  <c r="V42" i="1"/>
  <c r="AA42" i="1" s="1"/>
  <c r="AB42" i="1" s="1"/>
  <c r="V43" i="1"/>
  <c r="AA43" i="1" s="1"/>
  <c r="AB43" i="1" s="1"/>
  <c r="V44" i="1"/>
  <c r="AA44" i="1" s="1"/>
  <c r="AB44" i="1" s="1"/>
  <c r="V45" i="1"/>
  <c r="AA45" i="1" s="1"/>
  <c r="AB45" i="1" s="1"/>
  <c r="V46" i="1"/>
  <c r="AA46" i="1" s="1"/>
  <c r="AB46" i="1" s="1"/>
  <c r="V47" i="1"/>
  <c r="AA47" i="1" s="1"/>
  <c r="AB47" i="1" s="1"/>
  <c r="V48" i="1"/>
  <c r="AA48" i="1" s="1"/>
  <c r="AB48" i="1" s="1"/>
  <c r="V49" i="1"/>
  <c r="AA49" i="1" s="1"/>
  <c r="AB49" i="1" s="1"/>
  <c r="V50" i="1"/>
  <c r="AA50" i="1" s="1"/>
  <c r="AB50" i="1" s="1"/>
  <c r="V51" i="1"/>
  <c r="AA51" i="1" s="1"/>
  <c r="AB51" i="1" s="1"/>
  <c r="V52" i="1"/>
  <c r="AA52" i="1" s="1"/>
  <c r="AB52" i="1" s="1"/>
  <c r="V53" i="1"/>
  <c r="AA53" i="1" s="1"/>
  <c r="AB53" i="1" s="1"/>
  <c r="V54" i="1"/>
  <c r="AA54" i="1" s="1"/>
  <c r="AB54" i="1" s="1"/>
  <c r="V55" i="1"/>
  <c r="AA55" i="1" s="1"/>
  <c r="AB55" i="1" s="1"/>
  <c r="V56" i="1"/>
  <c r="AA56" i="1" s="1"/>
  <c r="AB56" i="1" s="1"/>
  <c r="V57" i="1"/>
  <c r="AA57" i="1" s="1"/>
  <c r="AB57" i="1" s="1"/>
  <c r="V58" i="1"/>
  <c r="AA58" i="1" s="1"/>
  <c r="AB58" i="1" s="1"/>
  <c r="V59" i="1"/>
  <c r="AA59" i="1" s="1"/>
  <c r="AB59" i="1" s="1"/>
  <c r="V60" i="1"/>
  <c r="AA60" i="1" s="1"/>
  <c r="AB60" i="1" s="1"/>
  <c r="V61" i="1"/>
  <c r="AA61" i="1" s="1"/>
  <c r="AB61" i="1" s="1"/>
  <c r="V62" i="1"/>
  <c r="AA62" i="1" s="1"/>
  <c r="AB62" i="1" s="1"/>
  <c r="V63" i="1"/>
  <c r="AA63" i="1" s="1"/>
  <c r="AB63" i="1" s="1"/>
  <c r="V64" i="1"/>
  <c r="AA64" i="1" s="1"/>
  <c r="AB64" i="1" s="1"/>
  <c r="V65" i="1"/>
  <c r="AA65" i="1" s="1"/>
  <c r="AB65" i="1" s="1"/>
  <c r="V66" i="1"/>
  <c r="AA66" i="1" s="1"/>
  <c r="AB66" i="1" s="1"/>
  <c r="V67" i="1"/>
  <c r="AA67" i="1" s="1"/>
  <c r="AB67" i="1" s="1"/>
  <c r="V68" i="1"/>
  <c r="AA68" i="1" s="1"/>
  <c r="AB68" i="1" s="1"/>
  <c r="V69" i="1"/>
  <c r="AA69" i="1" s="1"/>
  <c r="AB69" i="1" s="1"/>
  <c r="V70" i="1"/>
  <c r="AA70" i="1" s="1"/>
  <c r="AB70" i="1" s="1"/>
  <c r="V71" i="1"/>
  <c r="AA71" i="1" s="1"/>
  <c r="AB71" i="1" s="1"/>
  <c r="V72" i="1"/>
  <c r="AA72" i="1" s="1"/>
  <c r="AB72" i="1" s="1"/>
  <c r="V73" i="1"/>
  <c r="AA73" i="1" s="1"/>
  <c r="AB73" i="1" s="1"/>
  <c r="V74" i="1"/>
  <c r="AA74" i="1" s="1"/>
  <c r="AB74" i="1" s="1"/>
  <c r="V75" i="1"/>
  <c r="AA75" i="1" s="1"/>
  <c r="AB75" i="1" s="1"/>
  <c r="V76" i="1"/>
  <c r="AA76" i="1" s="1"/>
  <c r="AB76" i="1" s="1"/>
  <c r="V77" i="1"/>
  <c r="AA77" i="1" s="1"/>
  <c r="AB77" i="1" s="1"/>
  <c r="V78" i="1"/>
  <c r="AA78" i="1" s="1"/>
  <c r="AB78" i="1" s="1"/>
  <c r="V79" i="1"/>
  <c r="AA79" i="1" s="1"/>
  <c r="AB79" i="1" s="1"/>
  <c r="V80" i="1"/>
  <c r="AA80" i="1" s="1"/>
  <c r="AB80" i="1" s="1"/>
  <c r="V81" i="1"/>
  <c r="AA81" i="1" s="1"/>
  <c r="AB81" i="1" s="1"/>
  <c r="V82" i="1"/>
  <c r="AA82" i="1" s="1"/>
  <c r="AB82" i="1" s="1"/>
  <c r="V83" i="1"/>
  <c r="AA83" i="1" s="1"/>
  <c r="AB83" i="1" s="1"/>
  <c r="V84" i="1"/>
  <c r="AA84" i="1" s="1"/>
  <c r="AB84" i="1" s="1"/>
  <c r="V85" i="1"/>
  <c r="AA85" i="1" s="1"/>
  <c r="AB85" i="1" s="1"/>
  <c r="V86" i="1"/>
  <c r="AA86" i="1" s="1"/>
  <c r="AB86" i="1" s="1"/>
  <c r="V87" i="1"/>
  <c r="AA87" i="1" s="1"/>
  <c r="AB87" i="1" s="1"/>
  <c r="V88" i="1"/>
  <c r="AA88" i="1" s="1"/>
  <c r="AB88" i="1" s="1"/>
  <c r="V89" i="1"/>
  <c r="AA89" i="1" s="1"/>
  <c r="AB89" i="1" s="1"/>
  <c r="V90" i="1"/>
  <c r="AA90" i="1" s="1"/>
  <c r="AB90" i="1" s="1"/>
  <c r="V91" i="1"/>
  <c r="AA91" i="1" s="1"/>
  <c r="AB91" i="1" s="1"/>
  <c r="V92" i="1"/>
  <c r="AA92" i="1" s="1"/>
  <c r="AB92" i="1" s="1"/>
  <c r="V93" i="1"/>
  <c r="AA93" i="1" s="1"/>
  <c r="AB93" i="1" s="1"/>
  <c r="V94" i="1"/>
  <c r="AA94" i="1" s="1"/>
  <c r="AB94" i="1" s="1"/>
  <c r="V95" i="1"/>
  <c r="AA95" i="1" s="1"/>
  <c r="AB95" i="1" s="1"/>
  <c r="V96" i="1"/>
  <c r="AA96" i="1" s="1"/>
  <c r="AB96" i="1" s="1"/>
  <c r="V97" i="1"/>
  <c r="AA97" i="1" s="1"/>
  <c r="AB97" i="1" s="1"/>
  <c r="V98" i="1"/>
  <c r="AA98" i="1" s="1"/>
  <c r="AB98" i="1" s="1"/>
  <c r="V99" i="1"/>
  <c r="AA99" i="1" s="1"/>
  <c r="AB99" i="1" s="1"/>
  <c r="V100" i="1"/>
  <c r="AA100" i="1" s="1"/>
  <c r="AB100" i="1" s="1"/>
  <c r="V101" i="1"/>
  <c r="AA101" i="1" s="1"/>
  <c r="AB101" i="1" s="1"/>
  <c r="V102" i="1"/>
  <c r="AA102" i="1" s="1"/>
  <c r="AB102" i="1" s="1"/>
  <c r="V103" i="1"/>
  <c r="AA103" i="1" s="1"/>
  <c r="AB103" i="1" s="1"/>
  <c r="V104" i="1"/>
  <c r="AA104" i="1" s="1"/>
  <c r="AB104" i="1" s="1"/>
  <c r="V105" i="1"/>
  <c r="AA105" i="1" s="1"/>
  <c r="AB105" i="1" s="1"/>
  <c r="V106" i="1"/>
  <c r="AA106" i="1" s="1"/>
  <c r="AB106" i="1" s="1"/>
  <c r="V107" i="1"/>
  <c r="AA107" i="1" s="1"/>
  <c r="AB107" i="1" s="1"/>
  <c r="V108" i="1"/>
  <c r="AA108" i="1" s="1"/>
  <c r="AB108" i="1" s="1"/>
  <c r="V109" i="1"/>
  <c r="AA109" i="1" s="1"/>
  <c r="AB109" i="1" s="1"/>
  <c r="V110" i="1"/>
  <c r="AA110" i="1" s="1"/>
  <c r="AB110" i="1" s="1"/>
  <c r="V111" i="1"/>
  <c r="AA111" i="1" s="1"/>
  <c r="AB111" i="1" s="1"/>
  <c r="V112" i="1"/>
  <c r="AA112" i="1" s="1"/>
  <c r="AB112" i="1" s="1"/>
  <c r="V113" i="1"/>
  <c r="AA113" i="1" s="1"/>
  <c r="AB113" i="1" s="1"/>
  <c r="V114" i="1"/>
  <c r="AA114" i="1" s="1"/>
  <c r="AB114" i="1" s="1"/>
  <c r="V115" i="1"/>
  <c r="AA115" i="1" s="1"/>
  <c r="AB115" i="1" s="1"/>
  <c r="V116" i="1"/>
  <c r="AA116" i="1" s="1"/>
  <c r="AB116" i="1" s="1"/>
  <c r="V117" i="1"/>
  <c r="AA117" i="1" s="1"/>
  <c r="AB117" i="1" s="1"/>
  <c r="V118" i="1"/>
  <c r="AA118" i="1" s="1"/>
  <c r="AB118" i="1" s="1"/>
  <c r="V119" i="1"/>
  <c r="AA119" i="1" s="1"/>
  <c r="AB119" i="1" s="1"/>
  <c r="V120" i="1"/>
  <c r="AA120" i="1" s="1"/>
  <c r="AB120" i="1" s="1"/>
  <c r="V121" i="1"/>
  <c r="AA121" i="1" s="1"/>
  <c r="AB121" i="1" s="1"/>
  <c r="V122" i="1"/>
  <c r="AA122" i="1" s="1"/>
  <c r="AB122" i="1" s="1"/>
  <c r="V123" i="1"/>
  <c r="AA123" i="1" s="1"/>
  <c r="AB123" i="1" s="1"/>
  <c r="V124" i="1"/>
  <c r="AA124" i="1" s="1"/>
  <c r="AB124" i="1" s="1"/>
  <c r="V125" i="1"/>
  <c r="AA125" i="1" s="1"/>
  <c r="AB125" i="1" s="1"/>
  <c r="V126" i="1"/>
  <c r="AA126" i="1" s="1"/>
  <c r="AB126" i="1" s="1"/>
  <c r="V127" i="1"/>
  <c r="AA127" i="1" s="1"/>
  <c r="AB127" i="1" s="1"/>
  <c r="V128" i="1"/>
  <c r="AA128" i="1" s="1"/>
  <c r="AB128" i="1" s="1"/>
  <c r="V129" i="1"/>
  <c r="AA129" i="1" s="1"/>
  <c r="AB129" i="1" s="1"/>
  <c r="V130" i="1"/>
  <c r="AA130" i="1" s="1"/>
  <c r="AB130" i="1" s="1"/>
  <c r="V131" i="1"/>
  <c r="AA131" i="1" s="1"/>
  <c r="AB131" i="1" s="1"/>
  <c r="V132" i="1"/>
  <c r="AA132" i="1" s="1"/>
  <c r="AB132" i="1" s="1"/>
  <c r="V133" i="1"/>
  <c r="AA133" i="1" s="1"/>
  <c r="AB133" i="1" s="1"/>
  <c r="V134" i="1"/>
  <c r="AA134" i="1" s="1"/>
  <c r="AB134" i="1" s="1"/>
  <c r="V135" i="1"/>
  <c r="AA135" i="1" s="1"/>
  <c r="AB135" i="1" s="1"/>
  <c r="V136" i="1"/>
  <c r="AA136" i="1" s="1"/>
  <c r="AB136" i="1" s="1"/>
  <c r="V137" i="1"/>
  <c r="AA137" i="1" s="1"/>
  <c r="AB137" i="1" s="1"/>
  <c r="V138" i="1"/>
  <c r="AA138" i="1" s="1"/>
  <c r="AB138" i="1" s="1"/>
  <c r="V139" i="1"/>
  <c r="AA139" i="1" s="1"/>
  <c r="AB139" i="1" s="1"/>
  <c r="V140" i="1"/>
  <c r="AA140" i="1" s="1"/>
  <c r="AB140" i="1" s="1"/>
  <c r="V141" i="1"/>
  <c r="AA141" i="1" s="1"/>
  <c r="AB141" i="1" s="1"/>
  <c r="V142" i="1"/>
  <c r="AA142" i="1" s="1"/>
  <c r="AB142" i="1" s="1"/>
  <c r="V143" i="1"/>
  <c r="AA143" i="1" s="1"/>
  <c r="AB143" i="1" s="1"/>
  <c r="V144" i="1"/>
  <c r="AA144" i="1" s="1"/>
  <c r="AB144" i="1" s="1"/>
  <c r="V145" i="1"/>
  <c r="AA145" i="1" s="1"/>
  <c r="AB145" i="1" s="1"/>
  <c r="V146" i="1"/>
  <c r="AA146" i="1" s="1"/>
  <c r="AB146" i="1" s="1"/>
  <c r="V147" i="1"/>
  <c r="AA147" i="1" s="1"/>
  <c r="AB147" i="1" s="1"/>
  <c r="V148" i="1"/>
  <c r="AA148" i="1" s="1"/>
  <c r="AB148" i="1" s="1"/>
  <c r="V149" i="1"/>
  <c r="AA149" i="1" s="1"/>
  <c r="AB149" i="1" s="1"/>
  <c r="V150" i="1"/>
  <c r="AA150" i="1" s="1"/>
  <c r="AB150" i="1" s="1"/>
  <c r="V151" i="1"/>
  <c r="AA151" i="1" s="1"/>
  <c r="AB151" i="1" s="1"/>
  <c r="V152" i="1"/>
  <c r="AA152" i="1" s="1"/>
  <c r="AB152" i="1" s="1"/>
  <c r="V153" i="1"/>
  <c r="AA153" i="1" s="1"/>
  <c r="AB153" i="1" s="1"/>
  <c r="V154" i="1"/>
  <c r="AA154" i="1" s="1"/>
  <c r="AB154" i="1" s="1"/>
  <c r="V155" i="1"/>
  <c r="AA155" i="1" s="1"/>
  <c r="AB155" i="1" s="1"/>
  <c r="V156" i="1"/>
  <c r="AA156" i="1" s="1"/>
  <c r="AB156" i="1" s="1"/>
  <c r="V157" i="1"/>
  <c r="AA157" i="1" s="1"/>
  <c r="AB157" i="1" s="1"/>
  <c r="V158" i="1"/>
  <c r="AA158" i="1" s="1"/>
  <c r="AB158" i="1" s="1"/>
  <c r="V159" i="1"/>
  <c r="AA159" i="1" s="1"/>
  <c r="AB159" i="1" s="1"/>
  <c r="V160" i="1"/>
  <c r="AA160" i="1" s="1"/>
  <c r="AB160" i="1" s="1"/>
  <c r="V161" i="1"/>
  <c r="AA161" i="1" s="1"/>
  <c r="AB161" i="1" s="1"/>
  <c r="V162" i="1"/>
  <c r="AA162" i="1" s="1"/>
  <c r="AB162" i="1" s="1"/>
  <c r="V163" i="1"/>
  <c r="AA163" i="1" s="1"/>
  <c r="AB163" i="1" s="1"/>
  <c r="V164" i="1"/>
  <c r="AA164" i="1" s="1"/>
  <c r="AB164" i="1" s="1"/>
  <c r="V165" i="1"/>
  <c r="AA165" i="1" s="1"/>
  <c r="AB165" i="1" s="1"/>
  <c r="V166" i="1"/>
  <c r="AA166" i="1" s="1"/>
  <c r="AB166" i="1" s="1"/>
  <c r="V167" i="1"/>
  <c r="AA167" i="1" s="1"/>
  <c r="AB167" i="1" s="1"/>
  <c r="V168" i="1"/>
  <c r="AA168" i="1" s="1"/>
  <c r="AB168" i="1" s="1"/>
  <c r="V169" i="1"/>
  <c r="AA169" i="1" s="1"/>
  <c r="AB169" i="1" s="1"/>
  <c r="V170" i="1"/>
  <c r="AA170" i="1" s="1"/>
  <c r="AB170" i="1" s="1"/>
  <c r="V171" i="1"/>
  <c r="AA171" i="1" s="1"/>
  <c r="AB171" i="1" s="1"/>
  <c r="V172" i="1"/>
  <c r="AA172" i="1" s="1"/>
  <c r="AB172" i="1" s="1"/>
  <c r="V173" i="1"/>
  <c r="AA173" i="1" s="1"/>
  <c r="AB173" i="1" s="1"/>
  <c r="V174" i="1"/>
  <c r="AA174" i="1" s="1"/>
  <c r="AB174" i="1" s="1"/>
  <c r="V175" i="1"/>
  <c r="AA175" i="1" s="1"/>
  <c r="AB175" i="1" s="1"/>
  <c r="V176" i="1"/>
  <c r="AA176" i="1" s="1"/>
  <c r="AB176" i="1" s="1"/>
  <c r="V177" i="1"/>
  <c r="AA177" i="1" s="1"/>
  <c r="AB177" i="1" s="1"/>
  <c r="V178" i="1"/>
  <c r="AA178" i="1" s="1"/>
  <c r="AB178" i="1" s="1"/>
  <c r="V179" i="1"/>
  <c r="AA179" i="1" s="1"/>
  <c r="AB179" i="1" s="1"/>
  <c r="V180" i="1"/>
  <c r="AA180" i="1" s="1"/>
  <c r="AB180" i="1" s="1"/>
  <c r="V181" i="1"/>
  <c r="AA181" i="1" s="1"/>
  <c r="AB181" i="1" s="1"/>
  <c r="V182" i="1"/>
  <c r="AA182" i="1" s="1"/>
  <c r="AB182" i="1" s="1"/>
  <c r="V2" i="1"/>
  <c r="E190" i="1"/>
  <c r="D190" i="1"/>
  <c r="C190" i="1"/>
  <c r="AA2" i="1" l="1"/>
  <c r="AB2" i="1" s="1"/>
  <c r="AB184" i="1" s="1"/>
  <c r="E198" i="1"/>
  <c r="B190" i="1"/>
  <c r="U3" i="1"/>
  <c r="Y3" i="1" s="1"/>
  <c r="Z3" i="1" s="1"/>
  <c r="U4" i="1"/>
  <c r="Y4" i="1" s="1"/>
  <c r="Z4" i="1" s="1"/>
  <c r="U5" i="1"/>
  <c r="Y5" i="1" s="1"/>
  <c r="Z5" i="1" s="1"/>
  <c r="U6" i="1"/>
  <c r="Y6" i="1" s="1"/>
  <c r="Z6" i="1" s="1"/>
  <c r="U7" i="1"/>
  <c r="Y7" i="1" s="1"/>
  <c r="Z7" i="1" s="1"/>
  <c r="U8" i="1"/>
  <c r="Y8" i="1" s="1"/>
  <c r="Z8" i="1" s="1"/>
  <c r="U9" i="1"/>
  <c r="Y9" i="1" s="1"/>
  <c r="Z9" i="1" s="1"/>
  <c r="U10" i="1"/>
  <c r="Y10" i="1" s="1"/>
  <c r="Z10" i="1" s="1"/>
  <c r="U11" i="1"/>
  <c r="Y11" i="1" s="1"/>
  <c r="Z11" i="1" s="1"/>
  <c r="U12" i="1"/>
  <c r="Y12" i="1" s="1"/>
  <c r="Z12" i="1" s="1"/>
  <c r="U13" i="1"/>
  <c r="Y13" i="1" s="1"/>
  <c r="Z13" i="1" s="1"/>
  <c r="U14" i="1"/>
  <c r="Y14" i="1" s="1"/>
  <c r="Z14" i="1" s="1"/>
  <c r="U15" i="1"/>
  <c r="Y15" i="1" s="1"/>
  <c r="Z15" i="1" s="1"/>
  <c r="U16" i="1"/>
  <c r="Y16" i="1" s="1"/>
  <c r="Z16" i="1" s="1"/>
  <c r="U17" i="1"/>
  <c r="Y17" i="1" s="1"/>
  <c r="Z17" i="1" s="1"/>
  <c r="U18" i="1"/>
  <c r="Y18" i="1" s="1"/>
  <c r="Z18" i="1" s="1"/>
  <c r="U19" i="1"/>
  <c r="Y19" i="1" s="1"/>
  <c r="Z19" i="1" s="1"/>
  <c r="U20" i="1"/>
  <c r="Y20" i="1" s="1"/>
  <c r="Z20" i="1" s="1"/>
  <c r="U21" i="1"/>
  <c r="Y21" i="1" s="1"/>
  <c r="Z21" i="1" s="1"/>
  <c r="U22" i="1"/>
  <c r="Y22" i="1" s="1"/>
  <c r="Z22" i="1" s="1"/>
  <c r="U23" i="1"/>
  <c r="Y23" i="1" s="1"/>
  <c r="Z23" i="1" s="1"/>
  <c r="U24" i="1"/>
  <c r="Y24" i="1" s="1"/>
  <c r="Z24" i="1" s="1"/>
  <c r="U25" i="1"/>
  <c r="Y25" i="1" s="1"/>
  <c r="Z25" i="1" s="1"/>
  <c r="U26" i="1"/>
  <c r="Y26" i="1" s="1"/>
  <c r="Z26" i="1" s="1"/>
  <c r="U27" i="1"/>
  <c r="Y27" i="1" s="1"/>
  <c r="Z27" i="1" s="1"/>
  <c r="U28" i="1"/>
  <c r="Y28" i="1" s="1"/>
  <c r="Z28" i="1" s="1"/>
  <c r="U29" i="1"/>
  <c r="Y29" i="1" s="1"/>
  <c r="Z29" i="1" s="1"/>
  <c r="U30" i="1"/>
  <c r="Y30" i="1" s="1"/>
  <c r="Z30" i="1" s="1"/>
  <c r="U31" i="1"/>
  <c r="Y31" i="1" s="1"/>
  <c r="Z31" i="1" s="1"/>
  <c r="U32" i="1"/>
  <c r="Y32" i="1" s="1"/>
  <c r="Z32" i="1" s="1"/>
  <c r="U33" i="1"/>
  <c r="Y33" i="1" s="1"/>
  <c r="Z33" i="1" s="1"/>
  <c r="U34" i="1"/>
  <c r="Y34" i="1" s="1"/>
  <c r="Z34" i="1" s="1"/>
  <c r="U35" i="1"/>
  <c r="Y35" i="1" s="1"/>
  <c r="Z35" i="1" s="1"/>
  <c r="U36" i="1"/>
  <c r="Y36" i="1" s="1"/>
  <c r="Z36" i="1" s="1"/>
  <c r="U37" i="1"/>
  <c r="Y37" i="1" s="1"/>
  <c r="Z37" i="1" s="1"/>
  <c r="U38" i="1"/>
  <c r="Y38" i="1" s="1"/>
  <c r="Z38" i="1" s="1"/>
  <c r="U39" i="1"/>
  <c r="Y39" i="1" s="1"/>
  <c r="Z39" i="1" s="1"/>
  <c r="U40" i="1"/>
  <c r="Y40" i="1" s="1"/>
  <c r="Z40" i="1" s="1"/>
  <c r="U41" i="1"/>
  <c r="Y41" i="1" s="1"/>
  <c r="Z41" i="1" s="1"/>
  <c r="U42" i="1"/>
  <c r="Y42" i="1" s="1"/>
  <c r="Z42" i="1" s="1"/>
  <c r="U43" i="1"/>
  <c r="Y43" i="1" s="1"/>
  <c r="Z43" i="1" s="1"/>
  <c r="U44" i="1"/>
  <c r="Y44" i="1" s="1"/>
  <c r="Z44" i="1" s="1"/>
  <c r="U45" i="1"/>
  <c r="Y45" i="1" s="1"/>
  <c r="Z45" i="1" s="1"/>
  <c r="U46" i="1"/>
  <c r="Y46" i="1" s="1"/>
  <c r="Z46" i="1" s="1"/>
  <c r="U47" i="1"/>
  <c r="Y47" i="1" s="1"/>
  <c r="Z47" i="1" s="1"/>
  <c r="U48" i="1"/>
  <c r="Y48" i="1" s="1"/>
  <c r="Z48" i="1" s="1"/>
  <c r="U49" i="1"/>
  <c r="Y49" i="1" s="1"/>
  <c r="Z49" i="1" s="1"/>
  <c r="U50" i="1"/>
  <c r="Y50" i="1" s="1"/>
  <c r="Z50" i="1" s="1"/>
  <c r="U51" i="1"/>
  <c r="Y51" i="1" s="1"/>
  <c r="Z51" i="1" s="1"/>
  <c r="U52" i="1"/>
  <c r="Y52" i="1" s="1"/>
  <c r="Z52" i="1" s="1"/>
  <c r="U53" i="1"/>
  <c r="Y53" i="1" s="1"/>
  <c r="Z53" i="1" s="1"/>
  <c r="U54" i="1"/>
  <c r="Y54" i="1" s="1"/>
  <c r="Z54" i="1" s="1"/>
  <c r="U55" i="1"/>
  <c r="Y55" i="1" s="1"/>
  <c r="Z55" i="1" s="1"/>
  <c r="U56" i="1"/>
  <c r="Y56" i="1" s="1"/>
  <c r="Z56" i="1" s="1"/>
  <c r="U57" i="1"/>
  <c r="Y57" i="1" s="1"/>
  <c r="Z57" i="1" s="1"/>
  <c r="U58" i="1"/>
  <c r="Y58" i="1" s="1"/>
  <c r="Z58" i="1" s="1"/>
  <c r="U59" i="1"/>
  <c r="Y59" i="1" s="1"/>
  <c r="Z59" i="1" s="1"/>
  <c r="U60" i="1"/>
  <c r="Y60" i="1" s="1"/>
  <c r="Z60" i="1" s="1"/>
  <c r="U61" i="1"/>
  <c r="Y61" i="1" s="1"/>
  <c r="Z61" i="1" s="1"/>
  <c r="U62" i="1"/>
  <c r="Y62" i="1" s="1"/>
  <c r="Z62" i="1" s="1"/>
  <c r="U63" i="1"/>
  <c r="Y63" i="1" s="1"/>
  <c r="Z63" i="1" s="1"/>
  <c r="U64" i="1"/>
  <c r="Y64" i="1" s="1"/>
  <c r="Z64" i="1" s="1"/>
  <c r="U65" i="1"/>
  <c r="Y65" i="1" s="1"/>
  <c r="Z65" i="1" s="1"/>
  <c r="U66" i="1"/>
  <c r="Y66" i="1" s="1"/>
  <c r="Z66" i="1" s="1"/>
  <c r="U67" i="1"/>
  <c r="Y67" i="1" s="1"/>
  <c r="Z67" i="1" s="1"/>
  <c r="U68" i="1"/>
  <c r="Y68" i="1" s="1"/>
  <c r="Z68" i="1" s="1"/>
  <c r="U69" i="1"/>
  <c r="Y69" i="1" s="1"/>
  <c r="Z69" i="1" s="1"/>
  <c r="U70" i="1"/>
  <c r="Y70" i="1" s="1"/>
  <c r="Z70" i="1" s="1"/>
  <c r="U71" i="1"/>
  <c r="Y71" i="1" s="1"/>
  <c r="Z71" i="1" s="1"/>
  <c r="U72" i="1"/>
  <c r="Y72" i="1" s="1"/>
  <c r="Z72" i="1" s="1"/>
  <c r="U73" i="1"/>
  <c r="Y73" i="1" s="1"/>
  <c r="Z73" i="1" s="1"/>
  <c r="U74" i="1"/>
  <c r="Y74" i="1" s="1"/>
  <c r="Z74" i="1" s="1"/>
  <c r="U75" i="1"/>
  <c r="Y75" i="1" s="1"/>
  <c r="Z75" i="1" s="1"/>
  <c r="U76" i="1"/>
  <c r="Y76" i="1" s="1"/>
  <c r="Z76" i="1" s="1"/>
  <c r="U77" i="1"/>
  <c r="Y77" i="1" s="1"/>
  <c r="Z77" i="1" s="1"/>
  <c r="U78" i="1"/>
  <c r="Y78" i="1" s="1"/>
  <c r="Z78" i="1" s="1"/>
  <c r="U79" i="1"/>
  <c r="Y79" i="1" s="1"/>
  <c r="Z79" i="1" s="1"/>
  <c r="U80" i="1"/>
  <c r="Y80" i="1" s="1"/>
  <c r="Z80" i="1" s="1"/>
  <c r="U81" i="1"/>
  <c r="Y81" i="1" s="1"/>
  <c r="Z81" i="1" s="1"/>
  <c r="U82" i="1"/>
  <c r="Y82" i="1" s="1"/>
  <c r="Z82" i="1" s="1"/>
  <c r="U83" i="1"/>
  <c r="Y83" i="1" s="1"/>
  <c r="Z83" i="1" s="1"/>
  <c r="U84" i="1"/>
  <c r="Y84" i="1" s="1"/>
  <c r="Z84" i="1" s="1"/>
  <c r="U85" i="1"/>
  <c r="Y85" i="1" s="1"/>
  <c r="Z85" i="1" s="1"/>
  <c r="U86" i="1"/>
  <c r="Y86" i="1" s="1"/>
  <c r="Z86" i="1" s="1"/>
  <c r="U87" i="1"/>
  <c r="Y87" i="1" s="1"/>
  <c r="Z87" i="1" s="1"/>
  <c r="U88" i="1"/>
  <c r="Y88" i="1" s="1"/>
  <c r="Z88" i="1" s="1"/>
  <c r="U89" i="1"/>
  <c r="Y89" i="1" s="1"/>
  <c r="Z89" i="1" s="1"/>
  <c r="U90" i="1"/>
  <c r="Y90" i="1" s="1"/>
  <c r="Z90" i="1" s="1"/>
  <c r="U91" i="1"/>
  <c r="Y91" i="1" s="1"/>
  <c r="Z91" i="1" s="1"/>
  <c r="U92" i="1"/>
  <c r="Y92" i="1" s="1"/>
  <c r="Z92" i="1" s="1"/>
  <c r="U93" i="1"/>
  <c r="Y93" i="1" s="1"/>
  <c r="Z93" i="1" s="1"/>
  <c r="U94" i="1"/>
  <c r="Y94" i="1" s="1"/>
  <c r="Z94" i="1" s="1"/>
  <c r="U95" i="1"/>
  <c r="Y95" i="1" s="1"/>
  <c r="Z95" i="1" s="1"/>
  <c r="U96" i="1"/>
  <c r="Y96" i="1" s="1"/>
  <c r="Z96" i="1" s="1"/>
  <c r="U97" i="1"/>
  <c r="Y97" i="1" s="1"/>
  <c r="Z97" i="1" s="1"/>
  <c r="U98" i="1"/>
  <c r="Y98" i="1" s="1"/>
  <c r="Z98" i="1" s="1"/>
  <c r="U99" i="1"/>
  <c r="Y99" i="1" s="1"/>
  <c r="Z99" i="1" s="1"/>
  <c r="U100" i="1"/>
  <c r="Y100" i="1" s="1"/>
  <c r="Z100" i="1" s="1"/>
  <c r="U101" i="1"/>
  <c r="Y101" i="1" s="1"/>
  <c r="Z101" i="1" s="1"/>
  <c r="U102" i="1"/>
  <c r="Y102" i="1" s="1"/>
  <c r="Z102" i="1" s="1"/>
  <c r="U103" i="1"/>
  <c r="Y103" i="1" s="1"/>
  <c r="Z103" i="1" s="1"/>
  <c r="U104" i="1"/>
  <c r="Y104" i="1" s="1"/>
  <c r="Z104" i="1" s="1"/>
  <c r="U105" i="1"/>
  <c r="Y105" i="1" s="1"/>
  <c r="Z105" i="1" s="1"/>
  <c r="U106" i="1"/>
  <c r="Y106" i="1" s="1"/>
  <c r="Z106" i="1" s="1"/>
  <c r="U107" i="1"/>
  <c r="Y107" i="1" s="1"/>
  <c r="Z107" i="1" s="1"/>
  <c r="U108" i="1"/>
  <c r="Y108" i="1" s="1"/>
  <c r="Z108" i="1" s="1"/>
  <c r="U109" i="1"/>
  <c r="Y109" i="1" s="1"/>
  <c r="Z109" i="1" s="1"/>
  <c r="U110" i="1"/>
  <c r="Y110" i="1" s="1"/>
  <c r="Z110" i="1" s="1"/>
  <c r="U111" i="1"/>
  <c r="Y111" i="1" s="1"/>
  <c r="Z111" i="1" s="1"/>
  <c r="U112" i="1"/>
  <c r="Y112" i="1" s="1"/>
  <c r="Z112" i="1" s="1"/>
  <c r="U113" i="1"/>
  <c r="Y113" i="1" s="1"/>
  <c r="Z113" i="1" s="1"/>
  <c r="U114" i="1"/>
  <c r="Y114" i="1" s="1"/>
  <c r="Z114" i="1" s="1"/>
  <c r="U115" i="1"/>
  <c r="Y115" i="1" s="1"/>
  <c r="Z115" i="1" s="1"/>
  <c r="U116" i="1"/>
  <c r="Y116" i="1" s="1"/>
  <c r="Z116" i="1" s="1"/>
  <c r="U117" i="1"/>
  <c r="Y117" i="1" s="1"/>
  <c r="Z117" i="1" s="1"/>
  <c r="U118" i="1"/>
  <c r="Y118" i="1" s="1"/>
  <c r="Z118" i="1" s="1"/>
  <c r="U119" i="1"/>
  <c r="Y119" i="1" s="1"/>
  <c r="Z119" i="1" s="1"/>
  <c r="U120" i="1"/>
  <c r="Y120" i="1" s="1"/>
  <c r="Z120" i="1" s="1"/>
  <c r="U121" i="1"/>
  <c r="Y121" i="1" s="1"/>
  <c r="Z121" i="1" s="1"/>
  <c r="U122" i="1"/>
  <c r="Y122" i="1" s="1"/>
  <c r="Z122" i="1" s="1"/>
  <c r="U123" i="1"/>
  <c r="Y123" i="1" s="1"/>
  <c r="Z123" i="1" s="1"/>
  <c r="U124" i="1"/>
  <c r="Y124" i="1" s="1"/>
  <c r="Z124" i="1" s="1"/>
  <c r="U125" i="1"/>
  <c r="Y125" i="1" s="1"/>
  <c r="Z125" i="1" s="1"/>
  <c r="U126" i="1"/>
  <c r="Y126" i="1" s="1"/>
  <c r="Z126" i="1" s="1"/>
  <c r="U127" i="1"/>
  <c r="Y127" i="1" s="1"/>
  <c r="Z127" i="1" s="1"/>
  <c r="U128" i="1"/>
  <c r="Y128" i="1" s="1"/>
  <c r="Z128" i="1" s="1"/>
  <c r="U129" i="1"/>
  <c r="Y129" i="1" s="1"/>
  <c r="Z129" i="1" s="1"/>
  <c r="U130" i="1"/>
  <c r="Y130" i="1" s="1"/>
  <c r="Z130" i="1" s="1"/>
  <c r="U131" i="1"/>
  <c r="Y131" i="1" s="1"/>
  <c r="Z131" i="1" s="1"/>
  <c r="U132" i="1"/>
  <c r="Y132" i="1" s="1"/>
  <c r="Z132" i="1" s="1"/>
  <c r="U133" i="1"/>
  <c r="Y133" i="1" s="1"/>
  <c r="Z133" i="1" s="1"/>
  <c r="U134" i="1"/>
  <c r="Y134" i="1" s="1"/>
  <c r="Z134" i="1" s="1"/>
  <c r="U135" i="1"/>
  <c r="Y135" i="1" s="1"/>
  <c r="Z135" i="1" s="1"/>
  <c r="U136" i="1"/>
  <c r="Y136" i="1" s="1"/>
  <c r="Z136" i="1" s="1"/>
  <c r="U137" i="1"/>
  <c r="Y137" i="1" s="1"/>
  <c r="Z137" i="1" s="1"/>
  <c r="U138" i="1"/>
  <c r="Y138" i="1" s="1"/>
  <c r="Z138" i="1" s="1"/>
  <c r="U139" i="1"/>
  <c r="Y139" i="1" s="1"/>
  <c r="Z139" i="1" s="1"/>
  <c r="U140" i="1"/>
  <c r="Y140" i="1" s="1"/>
  <c r="Z140" i="1" s="1"/>
  <c r="U141" i="1"/>
  <c r="Y141" i="1" s="1"/>
  <c r="Z141" i="1" s="1"/>
  <c r="U142" i="1"/>
  <c r="Y142" i="1" s="1"/>
  <c r="Z142" i="1" s="1"/>
  <c r="U143" i="1"/>
  <c r="Y143" i="1" s="1"/>
  <c r="Z143" i="1" s="1"/>
  <c r="U144" i="1"/>
  <c r="Y144" i="1" s="1"/>
  <c r="Z144" i="1" s="1"/>
  <c r="U145" i="1"/>
  <c r="Y145" i="1" s="1"/>
  <c r="Z145" i="1" s="1"/>
  <c r="U146" i="1"/>
  <c r="Y146" i="1" s="1"/>
  <c r="Z146" i="1" s="1"/>
  <c r="U147" i="1"/>
  <c r="Y147" i="1" s="1"/>
  <c r="Z147" i="1" s="1"/>
  <c r="U148" i="1"/>
  <c r="Y148" i="1" s="1"/>
  <c r="Z148" i="1" s="1"/>
  <c r="U149" i="1"/>
  <c r="Y149" i="1" s="1"/>
  <c r="Z149" i="1" s="1"/>
  <c r="U150" i="1"/>
  <c r="Y150" i="1" s="1"/>
  <c r="Z150" i="1" s="1"/>
  <c r="U151" i="1"/>
  <c r="Y151" i="1" s="1"/>
  <c r="Z151" i="1" s="1"/>
  <c r="U152" i="1"/>
  <c r="Y152" i="1" s="1"/>
  <c r="Z152" i="1" s="1"/>
  <c r="U153" i="1"/>
  <c r="Y153" i="1" s="1"/>
  <c r="Z153" i="1" s="1"/>
  <c r="U154" i="1"/>
  <c r="Y154" i="1" s="1"/>
  <c r="Z154" i="1" s="1"/>
  <c r="U155" i="1"/>
  <c r="Y155" i="1" s="1"/>
  <c r="Z155" i="1" s="1"/>
  <c r="U156" i="1"/>
  <c r="Y156" i="1" s="1"/>
  <c r="Z156" i="1" s="1"/>
  <c r="U157" i="1"/>
  <c r="Y157" i="1" s="1"/>
  <c r="Z157" i="1" s="1"/>
  <c r="U158" i="1"/>
  <c r="Y158" i="1" s="1"/>
  <c r="Z158" i="1" s="1"/>
  <c r="U159" i="1"/>
  <c r="Y159" i="1" s="1"/>
  <c r="Z159" i="1" s="1"/>
  <c r="U160" i="1"/>
  <c r="Y160" i="1" s="1"/>
  <c r="Z160" i="1" s="1"/>
  <c r="U161" i="1"/>
  <c r="Y161" i="1" s="1"/>
  <c r="Z161" i="1" s="1"/>
  <c r="U162" i="1"/>
  <c r="Y162" i="1" s="1"/>
  <c r="Z162" i="1" s="1"/>
  <c r="U163" i="1"/>
  <c r="Y163" i="1" s="1"/>
  <c r="Z163" i="1" s="1"/>
  <c r="U164" i="1"/>
  <c r="Y164" i="1" s="1"/>
  <c r="Z164" i="1" s="1"/>
  <c r="U165" i="1"/>
  <c r="Y165" i="1" s="1"/>
  <c r="Z165" i="1" s="1"/>
  <c r="U166" i="1"/>
  <c r="Y166" i="1" s="1"/>
  <c r="Z166" i="1" s="1"/>
  <c r="U167" i="1"/>
  <c r="Y167" i="1" s="1"/>
  <c r="Z167" i="1" s="1"/>
  <c r="U168" i="1"/>
  <c r="Y168" i="1" s="1"/>
  <c r="Z168" i="1" s="1"/>
  <c r="U169" i="1"/>
  <c r="Y169" i="1" s="1"/>
  <c r="Z169" i="1" s="1"/>
  <c r="U170" i="1"/>
  <c r="Y170" i="1" s="1"/>
  <c r="Z170" i="1" s="1"/>
  <c r="U171" i="1"/>
  <c r="Y171" i="1" s="1"/>
  <c r="Z171" i="1" s="1"/>
  <c r="U172" i="1"/>
  <c r="Y172" i="1" s="1"/>
  <c r="Z172" i="1" s="1"/>
  <c r="U173" i="1"/>
  <c r="Y173" i="1" s="1"/>
  <c r="Z173" i="1" s="1"/>
  <c r="U174" i="1"/>
  <c r="Y174" i="1" s="1"/>
  <c r="Z174" i="1" s="1"/>
  <c r="U175" i="1"/>
  <c r="Y175" i="1" s="1"/>
  <c r="Z175" i="1" s="1"/>
  <c r="U176" i="1"/>
  <c r="Y176" i="1" s="1"/>
  <c r="Z176" i="1" s="1"/>
  <c r="U177" i="1"/>
  <c r="Y177" i="1" s="1"/>
  <c r="Z177" i="1" s="1"/>
  <c r="U178" i="1"/>
  <c r="Y178" i="1" s="1"/>
  <c r="Z178" i="1" s="1"/>
  <c r="U179" i="1"/>
  <c r="Y179" i="1" s="1"/>
  <c r="Z179" i="1" s="1"/>
  <c r="U180" i="1"/>
  <c r="Y180" i="1" s="1"/>
  <c r="Z180" i="1" s="1"/>
  <c r="U181" i="1"/>
  <c r="Y181" i="1" s="1"/>
  <c r="Z181" i="1" s="1"/>
  <c r="U182" i="1"/>
  <c r="Y182" i="1" s="1"/>
  <c r="Z182" i="1" s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L11" i="2"/>
  <c r="K1" i="2"/>
  <c r="J1" i="2"/>
  <c r="I92" i="2"/>
  <c r="H92" i="2"/>
  <c r="G92" i="2"/>
  <c r="F92" i="2"/>
  <c r="I168" i="2"/>
  <c r="H168" i="2"/>
  <c r="G168" i="2"/>
  <c r="F168" i="2"/>
  <c r="I67" i="2"/>
  <c r="H67" i="2"/>
  <c r="G67" i="2"/>
  <c r="F67" i="2"/>
  <c r="I161" i="2"/>
  <c r="H161" i="2"/>
  <c r="G161" i="2"/>
  <c r="F161" i="2"/>
  <c r="I104" i="2"/>
  <c r="H104" i="2"/>
  <c r="G104" i="2"/>
  <c r="F104" i="2"/>
  <c r="I81" i="2"/>
  <c r="H81" i="2"/>
  <c r="G81" i="2"/>
  <c r="F81" i="2"/>
  <c r="I166" i="2"/>
  <c r="H166" i="2"/>
  <c r="G166" i="2"/>
  <c r="F166" i="2"/>
  <c r="I68" i="2"/>
  <c r="H68" i="2"/>
  <c r="G68" i="2"/>
  <c r="F68" i="2"/>
  <c r="I179" i="2"/>
  <c r="H179" i="2"/>
  <c r="G179" i="2"/>
  <c r="F179" i="2"/>
  <c r="I42" i="2"/>
  <c r="H42" i="2"/>
  <c r="G42" i="2"/>
  <c r="F42" i="2"/>
  <c r="I5" i="2"/>
  <c r="H5" i="2"/>
  <c r="G5" i="2"/>
  <c r="F5" i="2"/>
  <c r="I56" i="2"/>
  <c r="H56" i="2"/>
  <c r="G56" i="2"/>
  <c r="F56" i="2"/>
  <c r="I27" i="2"/>
  <c r="H27" i="2"/>
  <c r="G27" i="2"/>
  <c r="F27" i="2"/>
  <c r="I59" i="2"/>
  <c r="H59" i="2"/>
  <c r="G59" i="2"/>
  <c r="F59" i="2"/>
  <c r="I181" i="2"/>
  <c r="H181" i="2"/>
  <c r="G181" i="2"/>
  <c r="F181" i="2"/>
  <c r="I155" i="2"/>
  <c r="H155" i="2"/>
  <c r="G155" i="2"/>
  <c r="F155" i="2"/>
  <c r="I47" i="2"/>
  <c r="H47" i="2"/>
  <c r="G47" i="2"/>
  <c r="F47" i="2"/>
  <c r="I112" i="2"/>
  <c r="H112" i="2"/>
  <c r="G112" i="2"/>
  <c r="F112" i="2"/>
  <c r="I167" i="2"/>
  <c r="H167" i="2"/>
  <c r="G167" i="2"/>
  <c r="F167" i="2"/>
  <c r="I182" i="2"/>
  <c r="H182" i="2"/>
  <c r="G182" i="2"/>
  <c r="F182" i="2"/>
  <c r="I153" i="2"/>
  <c r="H153" i="2"/>
  <c r="G153" i="2"/>
  <c r="F153" i="2"/>
  <c r="I82" i="2"/>
  <c r="H82" i="2"/>
  <c r="G82" i="2"/>
  <c r="F82" i="2"/>
  <c r="I126" i="2"/>
  <c r="H126" i="2"/>
  <c r="G126" i="2"/>
  <c r="F126" i="2"/>
  <c r="I143" i="2"/>
  <c r="H143" i="2"/>
  <c r="G143" i="2"/>
  <c r="F143" i="2"/>
  <c r="I109" i="2"/>
  <c r="H109" i="2"/>
  <c r="G109" i="2"/>
  <c r="F109" i="2"/>
  <c r="I175" i="2"/>
  <c r="H175" i="2"/>
  <c r="G175" i="2"/>
  <c r="F175" i="2"/>
  <c r="I180" i="2"/>
  <c r="H180" i="2"/>
  <c r="G180" i="2"/>
  <c r="F180" i="2"/>
  <c r="I10" i="2"/>
  <c r="H10" i="2"/>
  <c r="G10" i="2"/>
  <c r="F10" i="2"/>
  <c r="I19" i="2"/>
  <c r="H19" i="2"/>
  <c r="G19" i="2"/>
  <c r="F19" i="2"/>
  <c r="I72" i="2"/>
  <c r="H72" i="2"/>
  <c r="G72" i="2"/>
  <c r="F72" i="2"/>
  <c r="I154" i="2"/>
  <c r="H154" i="2"/>
  <c r="G154" i="2"/>
  <c r="F154" i="2"/>
  <c r="I129" i="2"/>
  <c r="H129" i="2"/>
  <c r="G129" i="2"/>
  <c r="F129" i="2"/>
  <c r="I69" i="2"/>
  <c r="H69" i="2"/>
  <c r="G69" i="2"/>
  <c r="F69" i="2"/>
  <c r="I80" i="2"/>
  <c r="H80" i="2"/>
  <c r="G80" i="2"/>
  <c r="F80" i="2"/>
  <c r="I30" i="2"/>
  <c r="H30" i="2"/>
  <c r="G30" i="2"/>
  <c r="F30" i="2"/>
  <c r="I52" i="2"/>
  <c r="H52" i="2"/>
  <c r="G52" i="2"/>
  <c r="F52" i="2"/>
  <c r="I158" i="2"/>
  <c r="H158" i="2"/>
  <c r="G158" i="2"/>
  <c r="F158" i="2"/>
  <c r="I32" i="2"/>
  <c r="H32" i="2"/>
  <c r="G32" i="2"/>
  <c r="F32" i="2"/>
  <c r="I177" i="2"/>
  <c r="H177" i="2"/>
  <c r="G177" i="2"/>
  <c r="F177" i="2"/>
  <c r="I121" i="2"/>
  <c r="H121" i="2"/>
  <c r="G121" i="2"/>
  <c r="F121" i="2"/>
  <c r="I3" i="2"/>
  <c r="H3" i="2"/>
  <c r="G3" i="2"/>
  <c r="F3" i="2"/>
  <c r="I23" i="2"/>
  <c r="H23" i="2"/>
  <c r="G23" i="2"/>
  <c r="F23" i="2"/>
  <c r="I171" i="2"/>
  <c r="H171" i="2"/>
  <c r="G171" i="2"/>
  <c r="F171" i="2"/>
  <c r="I40" i="2"/>
  <c r="H40" i="2"/>
  <c r="G40" i="2"/>
  <c r="F40" i="2"/>
  <c r="I12" i="2"/>
  <c r="H12" i="2"/>
  <c r="G12" i="2"/>
  <c r="F12" i="2"/>
  <c r="I8" i="2"/>
  <c r="H8" i="2"/>
  <c r="G8" i="2"/>
  <c r="F8" i="2"/>
  <c r="I28" i="2"/>
  <c r="H28" i="2"/>
  <c r="G28" i="2"/>
  <c r="F28" i="2"/>
  <c r="I15" i="2"/>
  <c r="H15" i="2"/>
  <c r="G15" i="2"/>
  <c r="F15" i="2"/>
  <c r="I4" i="2"/>
  <c r="H4" i="2"/>
  <c r="G4" i="2"/>
  <c r="F4" i="2"/>
  <c r="I145" i="2"/>
  <c r="H145" i="2"/>
  <c r="G145" i="2"/>
  <c r="F145" i="2"/>
  <c r="I25" i="2"/>
  <c r="H25" i="2"/>
  <c r="G25" i="2"/>
  <c r="F25" i="2"/>
  <c r="I169" i="2"/>
  <c r="H169" i="2"/>
  <c r="G169" i="2"/>
  <c r="F169" i="2"/>
  <c r="I46" i="2"/>
  <c r="H46" i="2"/>
  <c r="G46" i="2"/>
  <c r="F46" i="2"/>
  <c r="I78" i="2"/>
  <c r="H78" i="2"/>
  <c r="G78" i="2"/>
  <c r="F78" i="2"/>
  <c r="I105" i="2"/>
  <c r="H105" i="2"/>
  <c r="G105" i="2"/>
  <c r="F105" i="2"/>
  <c r="I77" i="2"/>
  <c r="H77" i="2"/>
  <c r="G77" i="2"/>
  <c r="F77" i="2"/>
  <c r="I79" i="2"/>
  <c r="H79" i="2"/>
  <c r="G79" i="2"/>
  <c r="F79" i="2"/>
  <c r="I148" i="2"/>
  <c r="H148" i="2"/>
  <c r="G148" i="2"/>
  <c r="F148" i="2"/>
  <c r="I134" i="2"/>
  <c r="H134" i="2"/>
  <c r="G134" i="2"/>
  <c r="F134" i="2"/>
  <c r="I66" i="2"/>
  <c r="H66" i="2"/>
  <c r="G66" i="2"/>
  <c r="F66" i="2"/>
  <c r="I115" i="2"/>
  <c r="H115" i="2"/>
  <c r="G115" i="2"/>
  <c r="F115" i="2"/>
  <c r="I156" i="2"/>
  <c r="H156" i="2"/>
  <c r="G156" i="2"/>
  <c r="F156" i="2"/>
  <c r="I165" i="2"/>
  <c r="H165" i="2"/>
  <c r="G165" i="2"/>
  <c r="F165" i="2"/>
  <c r="I50" i="2"/>
  <c r="H50" i="2"/>
  <c r="G50" i="2"/>
  <c r="F50" i="2"/>
  <c r="I17" i="2"/>
  <c r="H17" i="2"/>
  <c r="G17" i="2"/>
  <c r="F17" i="2"/>
  <c r="I133" i="2"/>
  <c r="H133" i="2"/>
  <c r="G133" i="2"/>
  <c r="F133" i="2"/>
  <c r="I173" i="2"/>
  <c r="H173" i="2"/>
  <c r="G173" i="2"/>
  <c r="F173" i="2"/>
  <c r="I149" i="2"/>
  <c r="H149" i="2"/>
  <c r="G149" i="2"/>
  <c r="F149" i="2"/>
  <c r="I130" i="2"/>
  <c r="H130" i="2"/>
  <c r="G130" i="2"/>
  <c r="F130" i="2"/>
  <c r="I160" i="2"/>
  <c r="H160" i="2"/>
  <c r="G160" i="2"/>
  <c r="F160" i="2"/>
  <c r="I2" i="2"/>
  <c r="H2" i="2"/>
  <c r="G2" i="2"/>
  <c r="F2" i="2"/>
  <c r="I20" i="2"/>
  <c r="H20" i="2"/>
  <c r="G20" i="2"/>
  <c r="F20" i="2"/>
  <c r="I86" i="2"/>
  <c r="H86" i="2"/>
  <c r="G86" i="2"/>
  <c r="F86" i="2"/>
  <c r="I131" i="2"/>
  <c r="H131" i="2"/>
  <c r="G131" i="2"/>
  <c r="F131" i="2"/>
  <c r="I88" i="2"/>
  <c r="H88" i="2"/>
  <c r="G88" i="2"/>
  <c r="F88" i="2"/>
  <c r="I141" i="2"/>
  <c r="H141" i="2"/>
  <c r="G141" i="2"/>
  <c r="F141" i="2"/>
  <c r="I137" i="2"/>
  <c r="H137" i="2"/>
  <c r="G137" i="2"/>
  <c r="F137" i="2"/>
  <c r="I54" i="2"/>
  <c r="H54" i="2"/>
  <c r="G54" i="2"/>
  <c r="F54" i="2"/>
  <c r="I91" i="2"/>
  <c r="H91" i="2"/>
  <c r="G91" i="2"/>
  <c r="F91" i="2"/>
  <c r="I164" i="2"/>
  <c r="H164" i="2"/>
  <c r="G164" i="2"/>
  <c r="F164" i="2"/>
  <c r="I113" i="2"/>
  <c r="H113" i="2"/>
  <c r="G113" i="2"/>
  <c r="F113" i="2"/>
  <c r="I103" i="2"/>
  <c r="H103" i="2"/>
  <c r="G103" i="2"/>
  <c r="F103" i="2"/>
  <c r="I102" i="2"/>
  <c r="H102" i="2"/>
  <c r="G102" i="2"/>
  <c r="F102" i="2"/>
  <c r="I60" i="2"/>
  <c r="H60" i="2"/>
  <c r="G60" i="2"/>
  <c r="F60" i="2"/>
  <c r="I176" i="2"/>
  <c r="H176" i="2"/>
  <c r="G176" i="2"/>
  <c r="F176" i="2"/>
  <c r="I48" i="2"/>
  <c r="H48" i="2"/>
  <c r="G48" i="2"/>
  <c r="F48" i="2"/>
  <c r="I136" i="2"/>
  <c r="H136" i="2"/>
  <c r="G136" i="2"/>
  <c r="F136" i="2"/>
  <c r="I172" i="2"/>
  <c r="H172" i="2"/>
  <c r="G172" i="2"/>
  <c r="F172" i="2"/>
  <c r="I100" i="2"/>
  <c r="H100" i="2"/>
  <c r="G100" i="2"/>
  <c r="F100" i="2"/>
  <c r="I53" i="2"/>
  <c r="H53" i="2"/>
  <c r="G53" i="2"/>
  <c r="F53" i="2"/>
  <c r="I162" i="2"/>
  <c r="H162" i="2"/>
  <c r="G162" i="2"/>
  <c r="F162" i="2"/>
  <c r="I26" i="2"/>
  <c r="H26" i="2"/>
  <c r="G26" i="2"/>
  <c r="F26" i="2"/>
  <c r="I7" i="2"/>
  <c r="H7" i="2"/>
  <c r="G7" i="2"/>
  <c r="F7" i="2"/>
  <c r="I98" i="2"/>
  <c r="H98" i="2"/>
  <c r="G98" i="2"/>
  <c r="F98" i="2"/>
  <c r="I83" i="2"/>
  <c r="H83" i="2"/>
  <c r="G83" i="2"/>
  <c r="F83" i="2"/>
  <c r="I63" i="2"/>
  <c r="H63" i="2"/>
  <c r="G63" i="2"/>
  <c r="F63" i="2"/>
  <c r="I178" i="2"/>
  <c r="H178" i="2"/>
  <c r="G178" i="2"/>
  <c r="F178" i="2"/>
  <c r="I122" i="2"/>
  <c r="H122" i="2"/>
  <c r="G122" i="2"/>
  <c r="F122" i="2"/>
  <c r="I35" i="2"/>
  <c r="H35" i="2"/>
  <c r="G35" i="2"/>
  <c r="F35" i="2"/>
  <c r="I74" i="2"/>
  <c r="H74" i="2"/>
  <c r="G74" i="2"/>
  <c r="F74" i="2"/>
  <c r="I150" i="2"/>
  <c r="H150" i="2"/>
  <c r="G150" i="2"/>
  <c r="F150" i="2"/>
  <c r="I140" i="2"/>
  <c r="H140" i="2"/>
  <c r="G140" i="2"/>
  <c r="F140" i="2"/>
  <c r="I139" i="2"/>
  <c r="H139" i="2"/>
  <c r="G139" i="2"/>
  <c r="F139" i="2"/>
  <c r="I114" i="2"/>
  <c r="H114" i="2"/>
  <c r="G114" i="2"/>
  <c r="F114" i="2"/>
  <c r="I21" i="2"/>
  <c r="H21" i="2"/>
  <c r="G21" i="2"/>
  <c r="F21" i="2"/>
  <c r="I75" i="2"/>
  <c r="H75" i="2"/>
  <c r="G75" i="2"/>
  <c r="F75" i="2"/>
  <c r="I45" i="2"/>
  <c r="H45" i="2"/>
  <c r="G45" i="2"/>
  <c r="F45" i="2"/>
  <c r="I142" i="2"/>
  <c r="H142" i="2"/>
  <c r="G142" i="2"/>
  <c r="F142" i="2"/>
  <c r="I132" i="2"/>
  <c r="H132" i="2"/>
  <c r="G132" i="2"/>
  <c r="F132" i="2"/>
  <c r="I70" i="2"/>
  <c r="H70" i="2"/>
  <c r="G70" i="2"/>
  <c r="F70" i="2"/>
  <c r="I49" i="2"/>
  <c r="H49" i="2"/>
  <c r="G49" i="2"/>
  <c r="F49" i="2"/>
  <c r="I152" i="2"/>
  <c r="H152" i="2"/>
  <c r="G152" i="2"/>
  <c r="F152" i="2"/>
  <c r="I96" i="2"/>
  <c r="H96" i="2"/>
  <c r="G96" i="2"/>
  <c r="F96" i="2"/>
  <c r="I111" i="2"/>
  <c r="H111" i="2"/>
  <c r="G111" i="2"/>
  <c r="F111" i="2"/>
  <c r="I151" i="2"/>
  <c r="H151" i="2"/>
  <c r="G151" i="2"/>
  <c r="F151" i="2"/>
  <c r="I94" i="2"/>
  <c r="H94" i="2"/>
  <c r="G94" i="2"/>
  <c r="F94" i="2"/>
  <c r="I41" i="2"/>
  <c r="H41" i="2"/>
  <c r="G41" i="2"/>
  <c r="F41" i="2"/>
  <c r="I123" i="2"/>
  <c r="H123" i="2"/>
  <c r="G123" i="2"/>
  <c r="F123" i="2"/>
  <c r="I174" i="2"/>
  <c r="H174" i="2"/>
  <c r="G174" i="2"/>
  <c r="F174" i="2"/>
  <c r="I118" i="2"/>
  <c r="H118" i="2"/>
  <c r="G118" i="2"/>
  <c r="F118" i="2"/>
  <c r="I65" i="2"/>
  <c r="H65" i="2"/>
  <c r="G65" i="2"/>
  <c r="F65" i="2"/>
  <c r="I90" i="2"/>
  <c r="H90" i="2"/>
  <c r="G90" i="2"/>
  <c r="F90" i="2"/>
  <c r="I110" i="2"/>
  <c r="H110" i="2"/>
  <c r="G110" i="2"/>
  <c r="F110" i="2"/>
  <c r="I119" i="2"/>
  <c r="H119" i="2"/>
  <c r="G119" i="2"/>
  <c r="F119" i="2"/>
  <c r="I55" i="2"/>
  <c r="H55" i="2"/>
  <c r="G55" i="2"/>
  <c r="F55" i="2"/>
  <c r="I13" i="2"/>
  <c r="H13" i="2"/>
  <c r="G13" i="2"/>
  <c r="F13" i="2"/>
  <c r="I44" i="2"/>
  <c r="H44" i="2"/>
  <c r="G44" i="2"/>
  <c r="F44" i="2"/>
  <c r="I85" i="2"/>
  <c r="H85" i="2"/>
  <c r="G85" i="2"/>
  <c r="F85" i="2"/>
  <c r="I16" i="2"/>
  <c r="H16" i="2"/>
  <c r="G16" i="2"/>
  <c r="F16" i="2"/>
  <c r="I163" i="2"/>
  <c r="H163" i="2"/>
  <c r="G163" i="2"/>
  <c r="F163" i="2"/>
  <c r="I71" i="2"/>
  <c r="H71" i="2"/>
  <c r="G71" i="2"/>
  <c r="F71" i="2"/>
  <c r="I147" i="2"/>
  <c r="H147" i="2"/>
  <c r="G147" i="2"/>
  <c r="F147" i="2"/>
  <c r="I38" i="2"/>
  <c r="H38" i="2"/>
  <c r="G38" i="2"/>
  <c r="F38" i="2"/>
  <c r="I9" i="2"/>
  <c r="H9" i="2"/>
  <c r="G9" i="2"/>
  <c r="F9" i="2"/>
  <c r="I128" i="2"/>
  <c r="H128" i="2"/>
  <c r="G128" i="2"/>
  <c r="F128" i="2"/>
  <c r="I127" i="2"/>
  <c r="H127" i="2"/>
  <c r="G127" i="2"/>
  <c r="F127" i="2"/>
  <c r="I6" i="2"/>
  <c r="H6" i="2"/>
  <c r="G6" i="2"/>
  <c r="F6" i="2"/>
  <c r="I170" i="2"/>
  <c r="H170" i="2"/>
  <c r="G170" i="2"/>
  <c r="F170" i="2"/>
  <c r="I146" i="2"/>
  <c r="H146" i="2"/>
  <c r="G146" i="2"/>
  <c r="F146" i="2"/>
  <c r="I120" i="2"/>
  <c r="H120" i="2"/>
  <c r="G120" i="2"/>
  <c r="F120" i="2"/>
  <c r="I87" i="2"/>
  <c r="H87" i="2"/>
  <c r="G87" i="2"/>
  <c r="F87" i="2"/>
  <c r="I117" i="2"/>
  <c r="H117" i="2"/>
  <c r="G117" i="2"/>
  <c r="F117" i="2"/>
  <c r="I135" i="2"/>
  <c r="H135" i="2"/>
  <c r="G135" i="2"/>
  <c r="F135" i="2"/>
  <c r="I106" i="2"/>
  <c r="H106" i="2"/>
  <c r="G106" i="2"/>
  <c r="F106" i="2"/>
  <c r="I14" i="2"/>
  <c r="H14" i="2"/>
  <c r="G14" i="2"/>
  <c r="F14" i="2"/>
  <c r="I37" i="2"/>
  <c r="H37" i="2"/>
  <c r="G37" i="2"/>
  <c r="F37" i="2"/>
  <c r="I51" i="2"/>
  <c r="H51" i="2"/>
  <c r="G51" i="2"/>
  <c r="F51" i="2"/>
  <c r="I124" i="2"/>
  <c r="H124" i="2"/>
  <c r="G124" i="2"/>
  <c r="F124" i="2"/>
  <c r="I138" i="2"/>
  <c r="H138" i="2"/>
  <c r="G138" i="2"/>
  <c r="F138" i="2"/>
  <c r="I84" i="2"/>
  <c r="H84" i="2"/>
  <c r="G84" i="2"/>
  <c r="F84" i="2"/>
  <c r="I99" i="2"/>
  <c r="H99" i="2"/>
  <c r="G99" i="2"/>
  <c r="F99" i="2"/>
  <c r="I11" i="2"/>
  <c r="H11" i="2"/>
  <c r="G11" i="2"/>
  <c r="F11" i="2"/>
  <c r="I76" i="2"/>
  <c r="H76" i="2"/>
  <c r="G76" i="2"/>
  <c r="F76" i="2"/>
  <c r="I89" i="2"/>
  <c r="H89" i="2"/>
  <c r="G89" i="2"/>
  <c r="F89" i="2"/>
  <c r="I39" i="2"/>
  <c r="H39" i="2"/>
  <c r="G39" i="2"/>
  <c r="F39" i="2"/>
  <c r="I36" i="2"/>
  <c r="H36" i="2"/>
  <c r="G36" i="2"/>
  <c r="F36" i="2"/>
  <c r="I101" i="2"/>
  <c r="H101" i="2"/>
  <c r="G101" i="2"/>
  <c r="F101" i="2"/>
  <c r="I125" i="2"/>
  <c r="H125" i="2"/>
  <c r="G125" i="2"/>
  <c r="F125" i="2"/>
  <c r="I107" i="2"/>
  <c r="H107" i="2"/>
  <c r="G107" i="2"/>
  <c r="F107" i="2"/>
  <c r="I73" i="2"/>
  <c r="H73" i="2"/>
  <c r="G73" i="2"/>
  <c r="F73" i="2"/>
  <c r="I97" i="2"/>
  <c r="H97" i="2"/>
  <c r="G97" i="2"/>
  <c r="F97" i="2"/>
  <c r="I57" i="2"/>
  <c r="H57" i="2"/>
  <c r="G57" i="2"/>
  <c r="F57" i="2"/>
  <c r="I116" i="2"/>
  <c r="H116" i="2"/>
  <c r="G116" i="2"/>
  <c r="F116" i="2"/>
  <c r="I62" i="2"/>
  <c r="H62" i="2"/>
  <c r="G62" i="2"/>
  <c r="F62" i="2"/>
  <c r="I31" i="2"/>
  <c r="H31" i="2"/>
  <c r="G31" i="2"/>
  <c r="F31" i="2"/>
  <c r="I29" i="2"/>
  <c r="H29" i="2"/>
  <c r="G29" i="2"/>
  <c r="F29" i="2"/>
  <c r="I61" i="2"/>
  <c r="H61" i="2"/>
  <c r="G61" i="2"/>
  <c r="F61" i="2"/>
  <c r="I95" i="2"/>
  <c r="H95" i="2"/>
  <c r="G95" i="2"/>
  <c r="F95" i="2"/>
  <c r="I159" i="2"/>
  <c r="H159" i="2"/>
  <c r="G159" i="2"/>
  <c r="F159" i="2"/>
  <c r="I93" i="2"/>
  <c r="H93" i="2"/>
  <c r="G93" i="2"/>
  <c r="F93" i="2"/>
  <c r="I64" i="2"/>
  <c r="H64" i="2"/>
  <c r="G64" i="2"/>
  <c r="F64" i="2"/>
  <c r="I157" i="2"/>
  <c r="H157" i="2"/>
  <c r="G157" i="2"/>
  <c r="F157" i="2"/>
  <c r="I43" i="2"/>
  <c r="H43" i="2"/>
  <c r="G43" i="2"/>
  <c r="F43" i="2"/>
  <c r="I22" i="2"/>
  <c r="H22" i="2"/>
  <c r="G22" i="2"/>
  <c r="F22" i="2"/>
  <c r="I18" i="2"/>
  <c r="H18" i="2"/>
  <c r="G18" i="2"/>
  <c r="F18" i="2"/>
  <c r="I58" i="2"/>
  <c r="H58" i="2"/>
  <c r="G58" i="2"/>
  <c r="F58" i="2"/>
  <c r="I34" i="2"/>
  <c r="H34" i="2"/>
  <c r="G34" i="2"/>
  <c r="F34" i="2"/>
  <c r="I24" i="2"/>
  <c r="H24" i="2"/>
  <c r="G24" i="2"/>
  <c r="F24" i="2"/>
  <c r="I144" i="2"/>
  <c r="H144" i="2"/>
  <c r="G144" i="2"/>
  <c r="F144" i="2"/>
  <c r="I108" i="2"/>
  <c r="H108" i="2"/>
  <c r="G108" i="2"/>
  <c r="F108" i="2"/>
  <c r="I33" i="2"/>
  <c r="H33" i="2"/>
  <c r="G33" i="2"/>
  <c r="F33" i="2"/>
  <c r="W182" i="1" l="1"/>
  <c r="X182" i="1" s="1"/>
  <c r="W178" i="1"/>
  <c r="X178" i="1" s="1"/>
  <c r="W174" i="1"/>
  <c r="X174" i="1" s="1"/>
  <c r="W170" i="1"/>
  <c r="X170" i="1" s="1"/>
  <c r="W166" i="1"/>
  <c r="X166" i="1" s="1"/>
  <c r="W162" i="1"/>
  <c r="X162" i="1" s="1"/>
  <c r="W158" i="1"/>
  <c r="X158" i="1" s="1"/>
  <c r="W154" i="1"/>
  <c r="X154" i="1" s="1"/>
  <c r="W150" i="1"/>
  <c r="X150" i="1" s="1"/>
  <c r="W146" i="1"/>
  <c r="X146" i="1" s="1"/>
  <c r="W142" i="1"/>
  <c r="X142" i="1" s="1"/>
  <c r="W138" i="1"/>
  <c r="X138" i="1" s="1"/>
  <c r="W134" i="1"/>
  <c r="X134" i="1" s="1"/>
  <c r="W130" i="1"/>
  <c r="X130" i="1" s="1"/>
  <c r="W126" i="1"/>
  <c r="X126" i="1" s="1"/>
  <c r="W122" i="1"/>
  <c r="X122" i="1" s="1"/>
  <c r="W118" i="1"/>
  <c r="X118" i="1" s="1"/>
  <c r="W114" i="1"/>
  <c r="X114" i="1" s="1"/>
  <c r="W110" i="1"/>
  <c r="X110" i="1" s="1"/>
  <c r="W106" i="1"/>
  <c r="X106" i="1" s="1"/>
  <c r="W102" i="1"/>
  <c r="X102" i="1" s="1"/>
  <c r="W98" i="1"/>
  <c r="X98" i="1" s="1"/>
  <c r="W94" i="1"/>
  <c r="X94" i="1" s="1"/>
  <c r="W90" i="1"/>
  <c r="X90" i="1" s="1"/>
  <c r="W86" i="1"/>
  <c r="X86" i="1" s="1"/>
  <c r="W82" i="1"/>
  <c r="X82" i="1" s="1"/>
  <c r="W78" i="1"/>
  <c r="X78" i="1" s="1"/>
  <c r="W74" i="1"/>
  <c r="X74" i="1" s="1"/>
  <c r="W70" i="1"/>
  <c r="X70" i="1" s="1"/>
  <c r="W66" i="1"/>
  <c r="X66" i="1" s="1"/>
  <c r="W62" i="1"/>
  <c r="X62" i="1" s="1"/>
  <c r="W58" i="1"/>
  <c r="X58" i="1" s="1"/>
  <c r="W54" i="1"/>
  <c r="X54" i="1" s="1"/>
  <c r="W50" i="1"/>
  <c r="X50" i="1" s="1"/>
  <c r="W46" i="1"/>
  <c r="X46" i="1" s="1"/>
  <c r="W42" i="1"/>
  <c r="X42" i="1" s="1"/>
  <c r="W38" i="1"/>
  <c r="X38" i="1" s="1"/>
  <c r="W34" i="1"/>
  <c r="X34" i="1" s="1"/>
  <c r="W30" i="1"/>
  <c r="X30" i="1" s="1"/>
  <c r="W26" i="1"/>
  <c r="X26" i="1" s="1"/>
  <c r="W22" i="1"/>
  <c r="X22" i="1" s="1"/>
  <c r="W18" i="1"/>
  <c r="X18" i="1" s="1"/>
  <c r="W14" i="1"/>
  <c r="X14" i="1" s="1"/>
  <c r="W10" i="1"/>
  <c r="X10" i="1" s="1"/>
  <c r="W6" i="1"/>
  <c r="X6" i="1" s="1"/>
  <c r="U187" i="1"/>
  <c r="B213" i="1"/>
  <c r="W181" i="1"/>
  <c r="X181" i="1" s="1"/>
  <c r="W177" i="1"/>
  <c r="X177" i="1" s="1"/>
  <c r="W173" i="1"/>
  <c r="X173" i="1" s="1"/>
  <c r="W169" i="1"/>
  <c r="X169" i="1" s="1"/>
  <c r="W165" i="1"/>
  <c r="X165" i="1" s="1"/>
  <c r="W161" i="1"/>
  <c r="X161" i="1" s="1"/>
  <c r="W157" i="1"/>
  <c r="X157" i="1" s="1"/>
  <c r="W153" i="1"/>
  <c r="X153" i="1" s="1"/>
  <c r="W149" i="1"/>
  <c r="X149" i="1" s="1"/>
  <c r="W145" i="1"/>
  <c r="X145" i="1" s="1"/>
  <c r="W141" i="1"/>
  <c r="X141" i="1" s="1"/>
  <c r="W137" i="1"/>
  <c r="X137" i="1" s="1"/>
  <c r="W133" i="1"/>
  <c r="X133" i="1" s="1"/>
  <c r="W129" i="1"/>
  <c r="X129" i="1" s="1"/>
  <c r="W125" i="1"/>
  <c r="X125" i="1" s="1"/>
  <c r="W121" i="1"/>
  <c r="X121" i="1" s="1"/>
  <c r="W117" i="1"/>
  <c r="X117" i="1" s="1"/>
  <c r="W113" i="1"/>
  <c r="X113" i="1" s="1"/>
  <c r="W109" i="1"/>
  <c r="X109" i="1" s="1"/>
  <c r="W105" i="1"/>
  <c r="X105" i="1" s="1"/>
  <c r="W101" i="1"/>
  <c r="X101" i="1" s="1"/>
  <c r="W97" i="1"/>
  <c r="X97" i="1" s="1"/>
  <c r="W93" i="1"/>
  <c r="X93" i="1" s="1"/>
  <c r="W89" i="1"/>
  <c r="X89" i="1" s="1"/>
  <c r="W85" i="1"/>
  <c r="X85" i="1" s="1"/>
  <c r="W81" i="1"/>
  <c r="X81" i="1" s="1"/>
  <c r="W77" i="1"/>
  <c r="X77" i="1" s="1"/>
  <c r="W73" i="1"/>
  <c r="X73" i="1" s="1"/>
  <c r="W69" i="1"/>
  <c r="X69" i="1" s="1"/>
  <c r="W65" i="1"/>
  <c r="X65" i="1" s="1"/>
  <c r="W61" i="1"/>
  <c r="X61" i="1" s="1"/>
  <c r="W57" i="1"/>
  <c r="X57" i="1" s="1"/>
  <c r="W53" i="1"/>
  <c r="X53" i="1" s="1"/>
  <c r="W49" i="1"/>
  <c r="X49" i="1" s="1"/>
  <c r="W45" i="1"/>
  <c r="X45" i="1" s="1"/>
  <c r="W41" i="1"/>
  <c r="X41" i="1" s="1"/>
  <c r="W37" i="1"/>
  <c r="X37" i="1" s="1"/>
  <c r="W33" i="1"/>
  <c r="X33" i="1" s="1"/>
  <c r="W29" i="1"/>
  <c r="X29" i="1" s="1"/>
  <c r="W25" i="1"/>
  <c r="X25" i="1" s="1"/>
  <c r="W21" i="1"/>
  <c r="X21" i="1" s="1"/>
  <c r="W17" i="1"/>
  <c r="X17" i="1" s="1"/>
  <c r="W13" i="1"/>
  <c r="X13" i="1" s="1"/>
  <c r="W9" i="1"/>
  <c r="X9" i="1" s="1"/>
  <c r="W5" i="1"/>
  <c r="X5" i="1" s="1"/>
  <c r="W180" i="1"/>
  <c r="X180" i="1" s="1"/>
  <c r="W176" i="1"/>
  <c r="X176" i="1" s="1"/>
  <c r="W172" i="1"/>
  <c r="X172" i="1" s="1"/>
  <c r="W168" i="1"/>
  <c r="X168" i="1" s="1"/>
  <c r="W164" i="1"/>
  <c r="X164" i="1" s="1"/>
  <c r="W160" i="1"/>
  <c r="X160" i="1" s="1"/>
  <c r="W156" i="1"/>
  <c r="X156" i="1" s="1"/>
  <c r="W152" i="1"/>
  <c r="X152" i="1" s="1"/>
  <c r="W148" i="1"/>
  <c r="X148" i="1" s="1"/>
  <c r="W144" i="1"/>
  <c r="X144" i="1" s="1"/>
  <c r="W140" i="1"/>
  <c r="X140" i="1" s="1"/>
  <c r="W136" i="1"/>
  <c r="X136" i="1" s="1"/>
  <c r="W132" i="1"/>
  <c r="X132" i="1" s="1"/>
  <c r="W128" i="1"/>
  <c r="X128" i="1" s="1"/>
  <c r="W124" i="1"/>
  <c r="X124" i="1" s="1"/>
  <c r="W120" i="1"/>
  <c r="X120" i="1" s="1"/>
  <c r="W116" i="1"/>
  <c r="X116" i="1" s="1"/>
  <c r="W112" i="1"/>
  <c r="X112" i="1" s="1"/>
  <c r="W108" i="1"/>
  <c r="X108" i="1" s="1"/>
  <c r="W104" i="1"/>
  <c r="X104" i="1" s="1"/>
  <c r="W100" i="1"/>
  <c r="X100" i="1" s="1"/>
  <c r="W96" i="1"/>
  <c r="X96" i="1" s="1"/>
  <c r="W92" i="1"/>
  <c r="X92" i="1" s="1"/>
  <c r="W88" i="1"/>
  <c r="X88" i="1" s="1"/>
  <c r="W84" i="1"/>
  <c r="X84" i="1" s="1"/>
  <c r="W80" i="1"/>
  <c r="X80" i="1" s="1"/>
  <c r="W76" i="1"/>
  <c r="X76" i="1" s="1"/>
  <c r="W72" i="1"/>
  <c r="X72" i="1" s="1"/>
  <c r="W68" i="1"/>
  <c r="X68" i="1" s="1"/>
  <c r="W64" i="1"/>
  <c r="X64" i="1" s="1"/>
  <c r="W60" i="1"/>
  <c r="X60" i="1" s="1"/>
  <c r="W56" i="1"/>
  <c r="X56" i="1" s="1"/>
  <c r="W52" i="1"/>
  <c r="X52" i="1" s="1"/>
  <c r="W48" i="1"/>
  <c r="X48" i="1" s="1"/>
  <c r="W44" i="1"/>
  <c r="X44" i="1" s="1"/>
  <c r="W40" i="1"/>
  <c r="X40" i="1" s="1"/>
  <c r="W36" i="1"/>
  <c r="X36" i="1" s="1"/>
  <c r="W32" i="1"/>
  <c r="X32" i="1" s="1"/>
  <c r="W28" i="1"/>
  <c r="X28" i="1" s="1"/>
  <c r="W24" i="1"/>
  <c r="X24" i="1" s="1"/>
  <c r="W20" i="1"/>
  <c r="X20" i="1" s="1"/>
  <c r="W16" i="1"/>
  <c r="X16" i="1" s="1"/>
  <c r="W12" i="1"/>
  <c r="X12" i="1" s="1"/>
  <c r="W8" i="1"/>
  <c r="X8" i="1" s="1"/>
  <c r="W4" i="1"/>
  <c r="X4" i="1" s="1"/>
  <c r="X184" i="1" s="1"/>
  <c r="W179" i="1"/>
  <c r="X179" i="1" s="1"/>
  <c r="W175" i="1"/>
  <c r="X175" i="1" s="1"/>
  <c r="W171" i="1"/>
  <c r="X171" i="1" s="1"/>
  <c r="W167" i="1"/>
  <c r="X167" i="1" s="1"/>
  <c r="W163" i="1"/>
  <c r="X163" i="1" s="1"/>
  <c r="W159" i="1"/>
  <c r="X159" i="1" s="1"/>
  <c r="W155" i="1"/>
  <c r="X155" i="1" s="1"/>
  <c r="W151" i="1"/>
  <c r="X151" i="1" s="1"/>
  <c r="W147" i="1"/>
  <c r="X147" i="1" s="1"/>
  <c r="W143" i="1"/>
  <c r="X143" i="1" s="1"/>
  <c r="W139" i="1"/>
  <c r="X139" i="1" s="1"/>
  <c r="W135" i="1"/>
  <c r="X135" i="1" s="1"/>
  <c r="W131" i="1"/>
  <c r="X131" i="1" s="1"/>
  <c r="W127" i="1"/>
  <c r="X127" i="1" s="1"/>
  <c r="W123" i="1"/>
  <c r="X123" i="1" s="1"/>
  <c r="W119" i="1"/>
  <c r="X119" i="1" s="1"/>
  <c r="W115" i="1"/>
  <c r="X115" i="1" s="1"/>
  <c r="W111" i="1"/>
  <c r="X111" i="1" s="1"/>
  <c r="W107" i="1"/>
  <c r="X107" i="1" s="1"/>
  <c r="W103" i="1"/>
  <c r="X103" i="1" s="1"/>
  <c r="W99" i="1"/>
  <c r="X99" i="1" s="1"/>
  <c r="W95" i="1"/>
  <c r="X95" i="1" s="1"/>
  <c r="W91" i="1"/>
  <c r="X91" i="1" s="1"/>
  <c r="W87" i="1"/>
  <c r="X87" i="1" s="1"/>
  <c r="W83" i="1"/>
  <c r="X83" i="1" s="1"/>
  <c r="W79" i="1"/>
  <c r="X79" i="1" s="1"/>
  <c r="W75" i="1"/>
  <c r="X75" i="1" s="1"/>
  <c r="W71" i="1"/>
  <c r="X71" i="1" s="1"/>
  <c r="W67" i="1"/>
  <c r="X67" i="1" s="1"/>
  <c r="W63" i="1"/>
  <c r="X63" i="1" s="1"/>
  <c r="W59" i="1"/>
  <c r="X59" i="1" s="1"/>
  <c r="W55" i="1"/>
  <c r="X55" i="1" s="1"/>
  <c r="W51" i="1"/>
  <c r="X51" i="1" s="1"/>
  <c r="W47" i="1"/>
  <c r="X47" i="1" s="1"/>
  <c r="W43" i="1"/>
  <c r="X43" i="1" s="1"/>
  <c r="W39" i="1"/>
  <c r="X39" i="1" s="1"/>
  <c r="W35" i="1"/>
  <c r="X35" i="1" s="1"/>
  <c r="W31" i="1"/>
  <c r="X31" i="1" s="1"/>
  <c r="W27" i="1"/>
  <c r="X27" i="1" s="1"/>
  <c r="W23" i="1"/>
  <c r="X23" i="1" s="1"/>
  <c r="W19" i="1"/>
  <c r="X19" i="1" s="1"/>
  <c r="W15" i="1"/>
  <c r="X15" i="1" s="1"/>
  <c r="W11" i="1"/>
  <c r="X11" i="1" s="1"/>
  <c r="W7" i="1"/>
  <c r="X7" i="1" s="1"/>
  <c r="W3" i="1"/>
  <c r="X3" i="1" s="1"/>
  <c r="T187" i="1"/>
  <c r="Y2" i="1"/>
  <c r="Z2" i="1" s="1"/>
  <c r="Z184" i="1" s="1"/>
  <c r="U185" i="1"/>
  <c r="B210" i="1"/>
  <c r="T184" i="1"/>
  <c r="B209" i="1" s="1"/>
  <c r="E209" i="1"/>
  <c r="B196" i="1"/>
  <c r="D196" i="1"/>
  <c r="B198" i="1"/>
  <c r="D198" i="1"/>
  <c r="H189" i="2"/>
  <c r="H185" i="2"/>
  <c r="H186" i="2" s="1"/>
  <c r="H184" i="2"/>
  <c r="I189" i="2"/>
  <c r="I185" i="2"/>
  <c r="I186" i="2" s="1"/>
  <c r="F189" i="2"/>
  <c r="F184" i="2"/>
  <c r="I184" i="2"/>
  <c r="G189" i="2"/>
  <c r="G185" i="2"/>
  <c r="G186" i="2" s="1"/>
  <c r="G184" i="2"/>
  <c r="F185" i="2"/>
  <c r="F186" i="2" s="1"/>
  <c r="M2" i="1"/>
  <c r="M3" i="1" s="1"/>
  <c r="J2" i="1"/>
  <c r="J3" i="1" s="1"/>
  <c r="K3" i="1" s="1"/>
  <c r="B212" i="1" l="1"/>
  <c r="I187" i="2"/>
  <c r="F187" i="2"/>
  <c r="G187" i="2"/>
  <c r="H187" i="2"/>
  <c r="M4" i="1"/>
  <c r="N4" i="1" s="1"/>
  <c r="N2" i="1"/>
  <c r="O2" i="1" s="1"/>
  <c r="N3" i="1"/>
  <c r="O3" i="1" s="1"/>
  <c r="K2" i="1"/>
  <c r="L2" i="1" s="1"/>
  <c r="L3" i="1"/>
  <c r="J4" i="1"/>
  <c r="K4" i="1" s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2" i="1"/>
  <c r="B184" i="1" l="1"/>
  <c r="M5" i="1"/>
  <c r="O4" i="1"/>
  <c r="J5" i="1"/>
  <c r="L4" i="1"/>
  <c r="E184" i="1"/>
  <c r="D184" i="1"/>
  <c r="C185" i="1"/>
  <c r="C186" i="1" s="1"/>
  <c r="D185" i="1"/>
  <c r="D186" i="1" s="1"/>
  <c r="E185" i="1"/>
  <c r="E186" i="1" s="1"/>
  <c r="C184" i="1"/>
  <c r="B185" i="1"/>
  <c r="B186" i="1" s="1"/>
  <c r="M6" i="1" l="1"/>
  <c r="N5" i="1"/>
  <c r="O5" i="1" s="1"/>
  <c r="E188" i="1"/>
  <c r="E202" i="1" s="1"/>
  <c r="J6" i="1"/>
  <c r="K6" i="1" s="1"/>
  <c r="K5" i="1"/>
  <c r="L5" i="1" s="1"/>
  <c r="D188" i="1"/>
  <c r="C188" i="1"/>
  <c r="B188" i="1"/>
  <c r="B202" i="1" l="1"/>
  <c r="D202" i="1"/>
  <c r="D200" i="1"/>
  <c r="D204" i="1" s="1"/>
  <c r="B204" i="1"/>
  <c r="E200" i="1"/>
  <c r="E204" i="1" s="1"/>
  <c r="M7" i="1"/>
  <c r="N6" i="1"/>
  <c r="O6" i="1" s="1"/>
  <c r="J7" i="1"/>
  <c r="K7" i="1" s="1"/>
  <c r="L6" i="1"/>
  <c r="M8" i="1" l="1"/>
  <c r="N7" i="1"/>
  <c r="O7" i="1" s="1"/>
  <c r="J8" i="1"/>
  <c r="K8" i="1" s="1"/>
  <c r="L7" i="1"/>
  <c r="M9" i="1" l="1"/>
  <c r="N8" i="1"/>
  <c r="O8" i="1" s="1"/>
  <c r="J9" i="1"/>
  <c r="K9" i="1" s="1"/>
  <c r="L8" i="1"/>
  <c r="M10" i="1" l="1"/>
  <c r="N10" i="1" s="1"/>
  <c r="N9" i="1"/>
  <c r="O9" i="1" s="1"/>
  <c r="J10" i="1"/>
  <c r="L9" i="1"/>
  <c r="M11" i="1" l="1"/>
  <c r="O10" i="1"/>
  <c r="J11" i="1"/>
  <c r="K10" i="1"/>
  <c r="L10" i="1" s="1"/>
  <c r="M12" i="1" l="1"/>
  <c r="N12" i="1" s="1"/>
  <c r="N11" i="1"/>
  <c r="O11" i="1" s="1"/>
  <c r="J12" i="1"/>
  <c r="K12" i="1" s="1"/>
  <c r="K11" i="1"/>
  <c r="L11" i="1" s="1"/>
  <c r="M13" i="1" l="1"/>
  <c r="O12" i="1"/>
  <c r="J13" i="1"/>
  <c r="K13" i="1" s="1"/>
  <c r="L12" i="1"/>
  <c r="M14" i="1" l="1"/>
  <c r="N13" i="1"/>
  <c r="O13" i="1" s="1"/>
  <c r="J14" i="1"/>
  <c r="K14" i="1" s="1"/>
  <c r="L13" i="1"/>
  <c r="M15" i="1" l="1"/>
  <c r="N14" i="1"/>
  <c r="O14" i="1" s="1"/>
  <c r="J15" i="1"/>
  <c r="K15" i="1" s="1"/>
  <c r="L14" i="1"/>
  <c r="M16" i="1" l="1"/>
  <c r="N15" i="1"/>
  <c r="O15" i="1" s="1"/>
  <c r="J16" i="1"/>
  <c r="L15" i="1"/>
  <c r="M17" i="1" l="1"/>
  <c r="N16" i="1"/>
  <c r="O16" i="1" s="1"/>
  <c r="J17" i="1"/>
  <c r="K16" i="1"/>
  <c r="L16" i="1" s="1"/>
  <c r="M18" i="1" l="1"/>
  <c r="N17" i="1"/>
  <c r="O17" i="1" s="1"/>
  <c r="J18" i="1"/>
  <c r="K17" i="1"/>
  <c r="L17" i="1" s="1"/>
  <c r="M19" i="1" l="1"/>
  <c r="N18" i="1"/>
  <c r="O18" i="1" s="1"/>
  <c r="J19" i="1"/>
  <c r="K18" i="1"/>
  <c r="L18" i="1" s="1"/>
  <c r="M20" i="1" l="1"/>
  <c r="N19" i="1"/>
  <c r="O19" i="1" s="1"/>
  <c r="J20" i="1"/>
  <c r="K20" i="1" s="1"/>
  <c r="K19" i="1"/>
  <c r="L19" i="1" s="1"/>
  <c r="M21" i="1" l="1"/>
  <c r="N20" i="1"/>
  <c r="O20" i="1" s="1"/>
  <c r="J21" i="1"/>
  <c r="L20" i="1"/>
  <c r="M22" i="1" l="1"/>
  <c r="N21" i="1"/>
  <c r="O21" i="1" s="1"/>
  <c r="J22" i="1"/>
  <c r="K22" i="1" s="1"/>
  <c r="K21" i="1"/>
  <c r="L21" i="1" s="1"/>
  <c r="M23" i="1" l="1"/>
  <c r="N22" i="1"/>
  <c r="O22" i="1" s="1"/>
  <c r="J23" i="1"/>
  <c r="K23" i="1" s="1"/>
  <c r="L22" i="1"/>
  <c r="M24" i="1" l="1"/>
  <c r="N23" i="1"/>
  <c r="O23" i="1" s="1"/>
  <c r="J24" i="1"/>
  <c r="K24" i="1" s="1"/>
  <c r="L23" i="1"/>
  <c r="M25" i="1" l="1"/>
  <c r="N24" i="1"/>
  <c r="O24" i="1" s="1"/>
  <c r="J25" i="1"/>
  <c r="K25" i="1" s="1"/>
  <c r="L24" i="1"/>
  <c r="M26" i="1" l="1"/>
  <c r="N25" i="1"/>
  <c r="O25" i="1" s="1"/>
  <c r="J26" i="1"/>
  <c r="L25" i="1"/>
  <c r="M27" i="1" l="1"/>
  <c r="N26" i="1"/>
  <c r="O26" i="1" s="1"/>
  <c r="J27" i="1"/>
  <c r="K26" i="1"/>
  <c r="L26" i="1" s="1"/>
  <c r="M28" i="1" l="1"/>
  <c r="N27" i="1"/>
  <c r="O27" i="1" s="1"/>
  <c r="J28" i="1"/>
  <c r="K27" i="1"/>
  <c r="L27" i="1" s="1"/>
  <c r="M29" i="1" l="1"/>
  <c r="N28" i="1"/>
  <c r="O28" i="1" s="1"/>
  <c r="J29" i="1"/>
  <c r="K29" i="1" s="1"/>
  <c r="K28" i="1"/>
  <c r="L28" i="1" s="1"/>
  <c r="M30" i="1" l="1"/>
  <c r="N29" i="1"/>
  <c r="O29" i="1" s="1"/>
  <c r="J30" i="1"/>
  <c r="K30" i="1" s="1"/>
  <c r="L29" i="1"/>
  <c r="M31" i="1" l="1"/>
  <c r="N30" i="1"/>
  <c r="O30" i="1" s="1"/>
  <c r="J31" i="1"/>
  <c r="K31" i="1" s="1"/>
  <c r="L30" i="1"/>
  <c r="M32" i="1" l="1"/>
  <c r="N31" i="1"/>
  <c r="O31" i="1" s="1"/>
  <c r="J32" i="1"/>
  <c r="L31" i="1"/>
  <c r="M33" i="1" l="1"/>
  <c r="N32" i="1"/>
  <c r="O32" i="1" s="1"/>
  <c r="J33" i="1"/>
  <c r="K32" i="1"/>
  <c r="L32" i="1" s="1"/>
  <c r="M34" i="1" l="1"/>
  <c r="N33" i="1"/>
  <c r="O33" i="1" s="1"/>
  <c r="J34" i="1"/>
  <c r="K33" i="1"/>
  <c r="L33" i="1" s="1"/>
  <c r="M35" i="1" l="1"/>
  <c r="N34" i="1"/>
  <c r="O34" i="1" s="1"/>
  <c r="J35" i="1"/>
  <c r="K34" i="1"/>
  <c r="L34" i="1" s="1"/>
  <c r="M36" i="1" l="1"/>
  <c r="N35" i="1"/>
  <c r="O35" i="1" s="1"/>
  <c r="J36" i="1"/>
  <c r="K35" i="1"/>
  <c r="L35" i="1" s="1"/>
  <c r="M37" i="1" l="1"/>
  <c r="N36" i="1"/>
  <c r="O36" i="1" s="1"/>
  <c r="J37" i="1"/>
  <c r="K36" i="1"/>
  <c r="L36" i="1" s="1"/>
  <c r="M38" i="1" l="1"/>
  <c r="N37" i="1"/>
  <c r="O37" i="1" s="1"/>
  <c r="K37" i="1"/>
  <c r="L37" i="1" s="1"/>
  <c r="J38" i="1"/>
  <c r="K38" i="1" s="1"/>
  <c r="M39" i="1" l="1"/>
  <c r="N38" i="1"/>
  <c r="O38" i="1" s="1"/>
  <c r="J39" i="1"/>
  <c r="K39" i="1" s="1"/>
  <c r="L38" i="1"/>
  <c r="M40" i="1" l="1"/>
  <c r="N39" i="1"/>
  <c r="O39" i="1" s="1"/>
  <c r="J40" i="1"/>
  <c r="L39" i="1"/>
  <c r="M41" i="1" l="1"/>
  <c r="N40" i="1"/>
  <c r="O40" i="1" s="1"/>
  <c r="J41" i="1"/>
  <c r="K41" i="1" s="1"/>
  <c r="K40" i="1"/>
  <c r="L40" i="1" s="1"/>
  <c r="M42" i="1" l="1"/>
  <c r="N41" i="1"/>
  <c r="O41" i="1" s="1"/>
  <c r="J42" i="1"/>
  <c r="L41" i="1"/>
  <c r="M43" i="1" l="1"/>
  <c r="N42" i="1"/>
  <c r="O42" i="1" s="1"/>
  <c r="J43" i="1"/>
  <c r="K43" i="1" s="1"/>
  <c r="K42" i="1"/>
  <c r="L42" i="1" s="1"/>
  <c r="M44" i="1" l="1"/>
  <c r="N43" i="1"/>
  <c r="O43" i="1" s="1"/>
  <c r="J44" i="1"/>
  <c r="L43" i="1"/>
  <c r="M45" i="1" l="1"/>
  <c r="N44" i="1"/>
  <c r="O44" i="1" s="1"/>
  <c r="J45" i="1"/>
  <c r="K45" i="1" s="1"/>
  <c r="K44" i="1"/>
  <c r="L44" i="1" s="1"/>
  <c r="M46" i="1" l="1"/>
  <c r="N45" i="1"/>
  <c r="O45" i="1" s="1"/>
  <c r="J46" i="1"/>
  <c r="K46" i="1" s="1"/>
  <c r="L45" i="1"/>
  <c r="M47" i="1" l="1"/>
  <c r="N46" i="1"/>
  <c r="O46" i="1" s="1"/>
  <c r="J47" i="1"/>
  <c r="K47" i="1" s="1"/>
  <c r="L46" i="1"/>
  <c r="M48" i="1" l="1"/>
  <c r="N47" i="1"/>
  <c r="O47" i="1" s="1"/>
  <c r="J48" i="1"/>
  <c r="K48" i="1" s="1"/>
  <c r="L47" i="1"/>
  <c r="M49" i="1" l="1"/>
  <c r="N48" i="1"/>
  <c r="O48" i="1" s="1"/>
  <c r="J49" i="1"/>
  <c r="L48" i="1"/>
  <c r="M50" i="1" l="1"/>
  <c r="N49" i="1"/>
  <c r="O49" i="1" s="1"/>
  <c r="J50" i="1"/>
  <c r="K49" i="1"/>
  <c r="L49" i="1" s="1"/>
  <c r="M51" i="1" l="1"/>
  <c r="N50" i="1"/>
  <c r="O50" i="1" s="1"/>
  <c r="J51" i="1"/>
  <c r="K50" i="1"/>
  <c r="L50" i="1" s="1"/>
  <c r="M52" i="1" l="1"/>
  <c r="N51" i="1"/>
  <c r="O51" i="1" s="1"/>
  <c r="J52" i="1"/>
  <c r="K51" i="1"/>
  <c r="L51" i="1" s="1"/>
  <c r="M53" i="1" l="1"/>
  <c r="N52" i="1"/>
  <c r="O52" i="1" s="1"/>
  <c r="J53" i="1"/>
  <c r="K52" i="1"/>
  <c r="L52" i="1" s="1"/>
  <c r="M54" i="1" l="1"/>
  <c r="N53" i="1"/>
  <c r="O53" i="1" s="1"/>
  <c r="J54" i="1"/>
  <c r="K53" i="1"/>
  <c r="L53" i="1" s="1"/>
  <c r="M55" i="1" l="1"/>
  <c r="N54" i="1"/>
  <c r="O54" i="1" s="1"/>
  <c r="J55" i="1"/>
  <c r="K54" i="1"/>
  <c r="L54" i="1" s="1"/>
  <c r="M56" i="1" l="1"/>
  <c r="N55" i="1"/>
  <c r="O55" i="1" s="1"/>
  <c r="J56" i="1"/>
  <c r="K55" i="1"/>
  <c r="L55" i="1" s="1"/>
  <c r="M57" i="1" l="1"/>
  <c r="N56" i="1"/>
  <c r="O56" i="1" s="1"/>
  <c r="J57" i="1"/>
  <c r="K56" i="1"/>
  <c r="L56" i="1" s="1"/>
  <c r="M58" i="1" l="1"/>
  <c r="N57" i="1"/>
  <c r="O57" i="1" s="1"/>
  <c r="J58" i="1"/>
  <c r="K57" i="1"/>
  <c r="L57" i="1" s="1"/>
  <c r="M59" i="1" l="1"/>
  <c r="N58" i="1"/>
  <c r="O58" i="1" s="1"/>
  <c r="J59" i="1"/>
  <c r="K58" i="1"/>
  <c r="L58" i="1" s="1"/>
  <c r="M60" i="1" l="1"/>
  <c r="N59" i="1"/>
  <c r="O59" i="1" s="1"/>
  <c r="J60" i="1"/>
  <c r="K59" i="1"/>
  <c r="L59" i="1" s="1"/>
  <c r="M61" i="1" l="1"/>
  <c r="N60" i="1"/>
  <c r="O60" i="1" s="1"/>
  <c r="J61" i="1"/>
  <c r="K60" i="1"/>
  <c r="L60" i="1" s="1"/>
  <c r="M62" i="1" l="1"/>
  <c r="N61" i="1"/>
  <c r="O61" i="1" s="1"/>
  <c r="J62" i="1"/>
  <c r="K61" i="1"/>
  <c r="L61" i="1" s="1"/>
  <c r="M63" i="1" l="1"/>
  <c r="N62" i="1"/>
  <c r="O62" i="1" s="1"/>
  <c r="J63" i="1"/>
  <c r="K62" i="1"/>
  <c r="L62" i="1" s="1"/>
  <c r="M64" i="1" l="1"/>
  <c r="N63" i="1"/>
  <c r="O63" i="1" s="1"/>
  <c r="J64" i="1"/>
  <c r="K63" i="1"/>
  <c r="L63" i="1" s="1"/>
  <c r="M65" i="1" l="1"/>
  <c r="N64" i="1"/>
  <c r="O64" i="1" s="1"/>
  <c r="J65" i="1"/>
  <c r="K64" i="1"/>
  <c r="L64" i="1" s="1"/>
  <c r="M66" i="1" l="1"/>
  <c r="N65" i="1"/>
  <c r="O65" i="1" s="1"/>
  <c r="J66" i="1"/>
  <c r="K65" i="1"/>
  <c r="L65" i="1" s="1"/>
  <c r="M67" i="1" l="1"/>
  <c r="N66" i="1"/>
  <c r="O66" i="1" s="1"/>
  <c r="J67" i="1"/>
  <c r="K66" i="1"/>
  <c r="L66" i="1" s="1"/>
  <c r="M68" i="1" l="1"/>
  <c r="N67" i="1"/>
  <c r="O67" i="1" s="1"/>
  <c r="J68" i="1"/>
  <c r="K67" i="1"/>
  <c r="L67" i="1" s="1"/>
  <c r="M69" i="1" l="1"/>
  <c r="N68" i="1"/>
  <c r="O68" i="1" s="1"/>
  <c r="J69" i="1"/>
  <c r="K68" i="1"/>
  <c r="L68" i="1" s="1"/>
  <c r="M70" i="1" l="1"/>
  <c r="N69" i="1"/>
  <c r="O69" i="1" s="1"/>
  <c r="J70" i="1"/>
  <c r="K69" i="1"/>
  <c r="L69" i="1" s="1"/>
  <c r="M71" i="1" l="1"/>
  <c r="N70" i="1"/>
  <c r="O70" i="1" s="1"/>
  <c r="J71" i="1"/>
  <c r="K70" i="1"/>
  <c r="L70" i="1" s="1"/>
  <c r="M72" i="1" l="1"/>
  <c r="N71" i="1"/>
  <c r="O71" i="1" s="1"/>
  <c r="J72" i="1"/>
  <c r="K71" i="1"/>
  <c r="L71" i="1" s="1"/>
  <c r="M73" i="1" l="1"/>
  <c r="N72" i="1"/>
  <c r="O72" i="1" s="1"/>
  <c r="J73" i="1"/>
  <c r="K72" i="1"/>
  <c r="L72" i="1" s="1"/>
  <c r="M74" i="1" l="1"/>
  <c r="N73" i="1"/>
  <c r="O73" i="1" s="1"/>
  <c r="J74" i="1"/>
  <c r="K73" i="1"/>
  <c r="L73" i="1" s="1"/>
  <c r="M75" i="1" l="1"/>
  <c r="N74" i="1"/>
  <c r="O74" i="1" s="1"/>
  <c r="J75" i="1"/>
  <c r="K74" i="1"/>
  <c r="L74" i="1" s="1"/>
  <c r="M76" i="1" l="1"/>
  <c r="N75" i="1"/>
  <c r="O75" i="1" s="1"/>
  <c r="J76" i="1"/>
  <c r="K75" i="1"/>
  <c r="L75" i="1" s="1"/>
  <c r="M77" i="1" l="1"/>
  <c r="N76" i="1"/>
  <c r="O76" i="1" s="1"/>
  <c r="J77" i="1"/>
  <c r="K76" i="1"/>
  <c r="L76" i="1" s="1"/>
  <c r="M78" i="1" l="1"/>
  <c r="N77" i="1"/>
  <c r="O77" i="1" s="1"/>
  <c r="J78" i="1"/>
  <c r="K77" i="1"/>
  <c r="L77" i="1" s="1"/>
  <c r="M79" i="1" l="1"/>
  <c r="N78" i="1"/>
  <c r="O78" i="1" s="1"/>
  <c r="J79" i="1"/>
  <c r="K78" i="1"/>
  <c r="L78" i="1" s="1"/>
  <c r="M80" i="1" l="1"/>
  <c r="N79" i="1"/>
  <c r="O79" i="1" s="1"/>
  <c r="J80" i="1"/>
  <c r="K79" i="1"/>
  <c r="L79" i="1" s="1"/>
  <c r="M81" i="1" l="1"/>
  <c r="N80" i="1"/>
  <c r="O80" i="1" s="1"/>
  <c r="J81" i="1"/>
  <c r="K80" i="1"/>
  <c r="L80" i="1" s="1"/>
  <c r="M82" i="1" l="1"/>
  <c r="N81" i="1"/>
  <c r="O81" i="1" s="1"/>
  <c r="J82" i="1"/>
  <c r="K81" i="1"/>
  <c r="L81" i="1" s="1"/>
  <c r="M83" i="1" l="1"/>
  <c r="N82" i="1"/>
  <c r="O82" i="1" s="1"/>
  <c r="J83" i="1"/>
  <c r="K82" i="1"/>
  <c r="L82" i="1" s="1"/>
  <c r="M84" i="1" l="1"/>
  <c r="N83" i="1"/>
  <c r="O83" i="1" s="1"/>
  <c r="J84" i="1"/>
  <c r="K83" i="1"/>
  <c r="L83" i="1" s="1"/>
  <c r="M85" i="1" l="1"/>
  <c r="N84" i="1"/>
  <c r="O84" i="1" s="1"/>
  <c r="J85" i="1"/>
  <c r="K84" i="1"/>
  <c r="L84" i="1" s="1"/>
  <c r="M86" i="1" l="1"/>
  <c r="N85" i="1"/>
  <c r="O85" i="1" s="1"/>
  <c r="J86" i="1"/>
  <c r="K85" i="1"/>
  <c r="L85" i="1" s="1"/>
  <c r="M87" i="1" l="1"/>
  <c r="N86" i="1"/>
  <c r="O86" i="1" s="1"/>
  <c r="J87" i="1"/>
  <c r="K86" i="1"/>
  <c r="L86" i="1" s="1"/>
  <c r="M88" i="1" l="1"/>
  <c r="N87" i="1"/>
  <c r="O87" i="1" s="1"/>
  <c r="J88" i="1"/>
  <c r="K87" i="1"/>
  <c r="L87" i="1" s="1"/>
  <c r="M89" i="1" l="1"/>
  <c r="N88" i="1"/>
  <c r="O88" i="1" s="1"/>
  <c r="J89" i="1"/>
  <c r="K88" i="1"/>
  <c r="L88" i="1" s="1"/>
  <c r="M90" i="1" l="1"/>
  <c r="N89" i="1"/>
  <c r="O89" i="1" s="1"/>
  <c r="J90" i="1"/>
  <c r="K89" i="1"/>
  <c r="L89" i="1" s="1"/>
  <c r="M91" i="1" l="1"/>
  <c r="N90" i="1"/>
  <c r="O90" i="1" s="1"/>
  <c r="J91" i="1"/>
  <c r="K90" i="1"/>
  <c r="L90" i="1" s="1"/>
  <c r="M92" i="1" l="1"/>
  <c r="N91" i="1"/>
  <c r="O91" i="1" s="1"/>
  <c r="J92" i="1"/>
  <c r="K91" i="1"/>
  <c r="L91" i="1" s="1"/>
  <c r="M93" i="1" l="1"/>
  <c r="N92" i="1"/>
  <c r="O92" i="1" s="1"/>
  <c r="J93" i="1"/>
  <c r="K92" i="1"/>
  <c r="L92" i="1" s="1"/>
  <c r="M94" i="1" l="1"/>
  <c r="N93" i="1"/>
  <c r="O93" i="1" s="1"/>
  <c r="J94" i="1"/>
  <c r="K93" i="1"/>
  <c r="L93" i="1" s="1"/>
  <c r="M95" i="1" l="1"/>
  <c r="N94" i="1"/>
  <c r="O94" i="1" s="1"/>
  <c r="J95" i="1"/>
  <c r="K94" i="1"/>
  <c r="L94" i="1" s="1"/>
  <c r="M96" i="1" l="1"/>
  <c r="N95" i="1"/>
  <c r="O95" i="1" s="1"/>
  <c r="J96" i="1"/>
  <c r="K95" i="1"/>
  <c r="L95" i="1" s="1"/>
  <c r="M97" i="1" l="1"/>
  <c r="N96" i="1"/>
  <c r="O96" i="1" s="1"/>
  <c r="J97" i="1"/>
  <c r="K96" i="1"/>
  <c r="L96" i="1" s="1"/>
  <c r="M98" i="1" l="1"/>
  <c r="N97" i="1"/>
  <c r="O97" i="1" s="1"/>
  <c r="J98" i="1"/>
  <c r="K97" i="1"/>
  <c r="L97" i="1" s="1"/>
  <c r="M99" i="1" l="1"/>
  <c r="N98" i="1"/>
  <c r="O98" i="1" s="1"/>
  <c r="J99" i="1"/>
  <c r="K98" i="1"/>
  <c r="L98" i="1" s="1"/>
  <c r="M100" i="1" l="1"/>
  <c r="N99" i="1"/>
  <c r="O99" i="1" s="1"/>
  <c r="J100" i="1"/>
  <c r="K99" i="1"/>
  <c r="L99" i="1" s="1"/>
  <c r="M101" i="1" l="1"/>
  <c r="N100" i="1"/>
  <c r="O100" i="1" s="1"/>
  <c r="J101" i="1"/>
  <c r="K100" i="1"/>
  <c r="L100" i="1" s="1"/>
  <c r="M102" i="1" l="1"/>
  <c r="N101" i="1"/>
  <c r="O101" i="1" s="1"/>
  <c r="J102" i="1"/>
  <c r="K101" i="1"/>
  <c r="L101" i="1" s="1"/>
  <c r="M103" i="1" l="1"/>
  <c r="N102" i="1"/>
  <c r="O102" i="1" s="1"/>
  <c r="J103" i="1"/>
  <c r="K102" i="1"/>
  <c r="L102" i="1" s="1"/>
  <c r="M104" i="1" l="1"/>
  <c r="N103" i="1"/>
  <c r="O103" i="1" s="1"/>
  <c r="J104" i="1"/>
  <c r="K103" i="1"/>
  <c r="L103" i="1" s="1"/>
  <c r="M105" i="1" l="1"/>
  <c r="N104" i="1"/>
  <c r="O104" i="1" s="1"/>
  <c r="J105" i="1"/>
  <c r="K104" i="1"/>
  <c r="L104" i="1" s="1"/>
  <c r="M106" i="1" l="1"/>
  <c r="N105" i="1"/>
  <c r="O105" i="1" s="1"/>
  <c r="J106" i="1"/>
  <c r="K105" i="1"/>
  <c r="L105" i="1" s="1"/>
  <c r="M107" i="1" l="1"/>
  <c r="N106" i="1"/>
  <c r="O106" i="1" s="1"/>
  <c r="J107" i="1"/>
  <c r="K106" i="1"/>
  <c r="L106" i="1" s="1"/>
  <c r="M108" i="1" l="1"/>
  <c r="N107" i="1"/>
  <c r="O107" i="1" s="1"/>
  <c r="J108" i="1"/>
  <c r="K107" i="1"/>
  <c r="L107" i="1" s="1"/>
  <c r="M109" i="1" l="1"/>
  <c r="N108" i="1"/>
  <c r="O108" i="1" s="1"/>
  <c r="J109" i="1"/>
  <c r="K108" i="1"/>
  <c r="L108" i="1" s="1"/>
  <c r="M110" i="1" l="1"/>
  <c r="N109" i="1"/>
  <c r="O109" i="1" s="1"/>
  <c r="J110" i="1"/>
  <c r="K109" i="1"/>
  <c r="L109" i="1" s="1"/>
  <c r="M111" i="1" l="1"/>
  <c r="N110" i="1"/>
  <c r="O110" i="1" s="1"/>
  <c r="J111" i="1"/>
  <c r="K110" i="1"/>
  <c r="L110" i="1" s="1"/>
  <c r="M112" i="1" l="1"/>
  <c r="N111" i="1"/>
  <c r="O111" i="1" s="1"/>
  <c r="J112" i="1"/>
  <c r="K111" i="1"/>
  <c r="L111" i="1" s="1"/>
  <c r="M113" i="1" l="1"/>
  <c r="N112" i="1"/>
  <c r="O112" i="1" s="1"/>
  <c r="J113" i="1"/>
  <c r="K112" i="1"/>
  <c r="L112" i="1" s="1"/>
  <c r="M114" i="1" l="1"/>
  <c r="N113" i="1"/>
  <c r="O113" i="1" s="1"/>
  <c r="J114" i="1"/>
  <c r="K113" i="1"/>
  <c r="L113" i="1" s="1"/>
  <c r="M115" i="1" l="1"/>
  <c r="N114" i="1"/>
  <c r="O114" i="1" s="1"/>
  <c r="J115" i="1"/>
  <c r="K114" i="1"/>
  <c r="L114" i="1" s="1"/>
  <c r="M116" i="1" l="1"/>
  <c r="N115" i="1"/>
  <c r="O115" i="1" s="1"/>
  <c r="J116" i="1"/>
  <c r="K115" i="1"/>
  <c r="L115" i="1" s="1"/>
  <c r="M117" i="1" l="1"/>
  <c r="N116" i="1"/>
  <c r="O116" i="1" s="1"/>
  <c r="J117" i="1"/>
  <c r="K116" i="1"/>
  <c r="L116" i="1" s="1"/>
  <c r="M118" i="1" l="1"/>
  <c r="N117" i="1"/>
  <c r="O117" i="1" s="1"/>
  <c r="J118" i="1"/>
  <c r="K117" i="1"/>
  <c r="L117" i="1" s="1"/>
  <c r="M119" i="1" l="1"/>
  <c r="N118" i="1"/>
  <c r="O118" i="1" s="1"/>
  <c r="J119" i="1"/>
  <c r="K118" i="1"/>
  <c r="L118" i="1" s="1"/>
  <c r="M120" i="1" l="1"/>
  <c r="N119" i="1"/>
  <c r="O119" i="1" s="1"/>
  <c r="J120" i="1"/>
  <c r="K119" i="1"/>
  <c r="L119" i="1" s="1"/>
  <c r="M121" i="1" l="1"/>
  <c r="N120" i="1"/>
  <c r="O120" i="1" s="1"/>
  <c r="J121" i="1"/>
  <c r="K120" i="1"/>
  <c r="L120" i="1" s="1"/>
  <c r="M122" i="1" l="1"/>
  <c r="N121" i="1"/>
  <c r="O121" i="1" s="1"/>
  <c r="J122" i="1"/>
  <c r="K121" i="1"/>
  <c r="L121" i="1" s="1"/>
  <c r="M123" i="1" l="1"/>
  <c r="N122" i="1"/>
  <c r="O122" i="1" s="1"/>
  <c r="J123" i="1"/>
  <c r="K122" i="1"/>
  <c r="L122" i="1" s="1"/>
  <c r="M124" i="1" l="1"/>
  <c r="N123" i="1"/>
  <c r="O123" i="1" s="1"/>
  <c r="J124" i="1"/>
  <c r="K123" i="1"/>
  <c r="L123" i="1" s="1"/>
  <c r="M125" i="1" l="1"/>
  <c r="N124" i="1"/>
  <c r="O124" i="1" s="1"/>
  <c r="J125" i="1"/>
  <c r="K124" i="1"/>
  <c r="L124" i="1" s="1"/>
  <c r="M126" i="1" l="1"/>
  <c r="N125" i="1"/>
  <c r="O125" i="1" s="1"/>
  <c r="J126" i="1"/>
  <c r="K125" i="1"/>
  <c r="L125" i="1" s="1"/>
  <c r="M127" i="1" l="1"/>
  <c r="N126" i="1"/>
  <c r="O126" i="1" s="1"/>
  <c r="J127" i="1"/>
  <c r="K126" i="1"/>
  <c r="L126" i="1" s="1"/>
  <c r="M128" i="1" l="1"/>
  <c r="N127" i="1"/>
  <c r="O127" i="1" s="1"/>
  <c r="J128" i="1"/>
  <c r="K127" i="1"/>
  <c r="L127" i="1" s="1"/>
  <c r="M129" i="1" l="1"/>
  <c r="N128" i="1"/>
  <c r="O128" i="1" s="1"/>
  <c r="J129" i="1"/>
  <c r="K128" i="1"/>
  <c r="L128" i="1" s="1"/>
  <c r="M130" i="1" l="1"/>
  <c r="N129" i="1"/>
  <c r="O129" i="1" s="1"/>
  <c r="J130" i="1"/>
  <c r="K129" i="1"/>
  <c r="L129" i="1" s="1"/>
  <c r="M131" i="1" l="1"/>
  <c r="N130" i="1"/>
  <c r="O130" i="1" s="1"/>
  <c r="J131" i="1"/>
  <c r="K130" i="1"/>
  <c r="L130" i="1" s="1"/>
  <c r="M132" i="1" l="1"/>
  <c r="N131" i="1"/>
  <c r="O131" i="1" s="1"/>
  <c r="J132" i="1"/>
  <c r="K131" i="1"/>
  <c r="L131" i="1" s="1"/>
  <c r="M133" i="1" l="1"/>
  <c r="N132" i="1"/>
  <c r="O132" i="1" s="1"/>
  <c r="J133" i="1"/>
  <c r="K132" i="1"/>
  <c r="L132" i="1" s="1"/>
  <c r="M134" i="1" l="1"/>
  <c r="N133" i="1"/>
  <c r="O133" i="1" s="1"/>
  <c r="J134" i="1"/>
  <c r="K133" i="1"/>
  <c r="L133" i="1" s="1"/>
  <c r="M135" i="1" l="1"/>
  <c r="N134" i="1"/>
  <c r="O134" i="1" s="1"/>
  <c r="J135" i="1"/>
  <c r="K134" i="1"/>
  <c r="L134" i="1" s="1"/>
  <c r="M136" i="1" l="1"/>
  <c r="N135" i="1"/>
  <c r="O135" i="1" s="1"/>
  <c r="J136" i="1"/>
  <c r="K135" i="1"/>
  <c r="L135" i="1" s="1"/>
  <c r="M137" i="1" l="1"/>
  <c r="N136" i="1"/>
  <c r="O136" i="1" s="1"/>
  <c r="J137" i="1"/>
  <c r="K136" i="1"/>
  <c r="L136" i="1" s="1"/>
  <c r="M138" i="1" l="1"/>
  <c r="N137" i="1"/>
  <c r="O137" i="1" s="1"/>
  <c r="J138" i="1"/>
  <c r="K137" i="1"/>
  <c r="L137" i="1" s="1"/>
  <c r="M139" i="1" l="1"/>
  <c r="N138" i="1"/>
  <c r="O138" i="1" s="1"/>
  <c r="J139" i="1"/>
  <c r="K138" i="1"/>
  <c r="L138" i="1" s="1"/>
  <c r="M140" i="1" l="1"/>
  <c r="N139" i="1"/>
  <c r="O139" i="1" s="1"/>
  <c r="J140" i="1"/>
  <c r="K139" i="1"/>
  <c r="L139" i="1" s="1"/>
  <c r="M141" i="1" l="1"/>
  <c r="N140" i="1"/>
  <c r="O140" i="1" s="1"/>
  <c r="J141" i="1"/>
  <c r="K140" i="1"/>
  <c r="L140" i="1" s="1"/>
  <c r="M142" i="1" l="1"/>
  <c r="N141" i="1"/>
  <c r="O141" i="1" s="1"/>
  <c r="J142" i="1"/>
  <c r="K141" i="1"/>
  <c r="L141" i="1" s="1"/>
  <c r="M143" i="1" l="1"/>
  <c r="N142" i="1"/>
  <c r="O142" i="1" s="1"/>
  <c r="J143" i="1"/>
  <c r="K142" i="1"/>
  <c r="L142" i="1" s="1"/>
  <c r="M144" i="1" l="1"/>
  <c r="N143" i="1"/>
  <c r="O143" i="1" s="1"/>
  <c r="J144" i="1"/>
  <c r="K143" i="1"/>
  <c r="L143" i="1" s="1"/>
  <c r="M145" i="1" l="1"/>
  <c r="N144" i="1"/>
  <c r="O144" i="1" s="1"/>
  <c r="J145" i="1"/>
  <c r="K144" i="1"/>
  <c r="L144" i="1" s="1"/>
  <c r="M146" i="1" l="1"/>
  <c r="N145" i="1"/>
  <c r="O145" i="1" s="1"/>
  <c r="J146" i="1"/>
  <c r="K145" i="1"/>
  <c r="L145" i="1" s="1"/>
  <c r="M147" i="1" l="1"/>
  <c r="N146" i="1"/>
  <c r="O146" i="1" s="1"/>
  <c r="J147" i="1"/>
  <c r="K146" i="1"/>
  <c r="L146" i="1" s="1"/>
  <c r="M148" i="1" l="1"/>
  <c r="N147" i="1"/>
  <c r="O147" i="1" s="1"/>
  <c r="J148" i="1"/>
  <c r="K147" i="1"/>
  <c r="L147" i="1" s="1"/>
  <c r="M149" i="1" l="1"/>
  <c r="N148" i="1"/>
  <c r="O148" i="1" s="1"/>
  <c r="J149" i="1"/>
  <c r="K148" i="1"/>
  <c r="L148" i="1" s="1"/>
  <c r="M150" i="1" l="1"/>
  <c r="N149" i="1"/>
  <c r="O149" i="1" s="1"/>
  <c r="J150" i="1"/>
  <c r="K149" i="1"/>
  <c r="L149" i="1" s="1"/>
  <c r="M151" i="1" l="1"/>
  <c r="N150" i="1"/>
  <c r="O150" i="1" s="1"/>
  <c r="J151" i="1"/>
  <c r="K150" i="1"/>
  <c r="L150" i="1" s="1"/>
  <c r="M152" i="1" l="1"/>
  <c r="N151" i="1"/>
  <c r="O151" i="1" s="1"/>
  <c r="J152" i="1"/>
  <c r="K151" i="1"/>
  <c r="L151" i="1" s="1"/>
  <c r="M153" i="1" l="1"/>
  <c r="N152" i="1"/>
  <c r="O152" i="1" s="1"/>
  <c r="J153" i="1"/>
  <c r="K152" i="1"/>
  <c r="L152" i="1" s="1"/>
  <c r="M154" i="1" l="1"/>
  <c r="N153" i="1"/>
  <c r="O153" i="1" s="1"/>
  <c r="J154" i="1"/>
  <c r="K153" i="1"/>
  <c r="L153" i="1" s="1"/>
  <c r="M155" i="1" l="1"/>
  <c r="N154" i="1"/>
  <c r="O154" i="1" s="1"/>
  <c r="J155" i="1"/>
  <c r="K154" i="1"/>
  <c r="L154" i="1" s="1"/>
  <c r="M156" i="1" l="1"/>
  <c r="N155" i="1"/>
  <c r="O155" i="1" s="1"/>
  <c r="J156" i="1"/>
  <c r="K155" i="1"/>
  <c r="L155" i="1" s="1"/>
  <c r="M157" i="1" l="1"/>
  <c r="N156" i="1"/>
  <c r="O156" i="1" s="1"/>
  <c r="J157" i="1"/>
  <c r="K156" i="1"/>
  <c r="L156" i="1" s="1"/>
  <c r="M158" i="1" l="1"/>
  <c r="N157" i="1"/>
  <c r="O157" i="1" s="1"/>
  <c r="J158" i="1"/>
  <c r="K157" i="1"/>
  <c r="L157" i="1" s="1"/>
  <c r="M159" i="1" l="1"/>
  <c r="N158" i="1"/>
  <c r="O158" i="1" s="1"/>
  <c r="J159" i="1"/>
  <c r="K158" i="1"/>
  <c r="L158" i="1" s="1"/>
  <c r="M160" i="1" l="1"/>
  <c r="N159" i="1"/>
  <c r="O159" i="1" s="1"/>
  <c r="J160" i="1"/>
  <c r="K159" i="1"/>
  <c r="L159" i="1" s="1"/>
  <c r="M161" i="1" l="1"/>
  <c r="N160" i="1"/>
  <c r="O160" i="1" s="1"/>
  <c r="J161" i="1"/>
  <c r="K160" i="1"/>
  <c r="L160" i="1" s="1"/>
  <c r="M162" i="1" l="1"/>
  <c r="N161" i="1"/>
  <c r="O161" i="1" s="1"/>
  <c r="J162" i="1"/>
  <c r="K161" i="1"/>
  <c r="L161" i="1" s="1"/>
  <c r="M163" i="1" l="1"/>
  <c r="N162" i="1"/>
  <c r="O162" i="1" s="1"/>
  <c r="J163" i="1"/>
  <c r="K162" i="1"/>
  <c r="L162" i="1" s="1"/>
  <c r="M164" i="1" l="1"/>
  <c r="N163" i="1"/>
  <c r="O163" i="1" s="1"/>
  <c r="J164" i="1"/>
  <c r="K163" i="1"/>
  <c r="L163" i="1" s="1"/>
  <c r="M165" i="1" l="1"/>
  <c r="N164" i="1"/>
  <c r="O164" i="1" s="1"/>
  <c r="J165" i="1"/>
  <c r="K164" i="1"/>
  <c r="L164" i="1" s="1"/>
  <c r="M166" i="1" l="1"/>
  <c r="N165" i="1"/>
  <c r="O165" i="1" s="1"/>
  <c r="J166" i="1"/>
  <c r="K165" i="1"/>
  <c r="L165" i="1" s="1"/>
  <c r="M167" i="1" l="1"/>
  <c r="N166" i="1"/>
  <c r="O166" i="1" s="1"/>
  <c r="J167" i="1"/>
  <c r="K166" i="1"/>
  <c r="L166" i="1" s="1"/>
  <c r="M168" i="1" l="1"/>
  <c r="N167" i="1"/>
  <c r="O167" i="1" s="1"/>
  <c r="J168" i="1"/>
  <c r="K167" i="1"/>
  <c r="L167" i="1" s="1"/>
  <c r="M169" i="1" l="1"/>
  <c r="N168" i="1"/>
  <c r="O168" i="1" s="1"/>
  <c r="J169" i="1"/>
  <c r="K168" i="1"/>
  <c r="L168" i="1" s="1"/>
  <c r="M170" i="1" l="1"/>
  <c r="N169" i="1"/>
  <c r="O169" i="1" s="1"/>
  <c r="J170" i="1"/>
  <c r="K169" i="1"/>
  <c r="L169" i="1" s="1"/>
  <c r="M171" i="1" l="1"/>
  <c r="N170" i="1"/>
  <c r="O170" i="1" s="1"/>
  <c r="J171" i="1"/>
  <c r="K170" i="1"/>
  <c r="L170" i="1" s="1"/>
  <c r="M172" i="1" l="1"/>
  <c r="N171" i="1"/>
  <c r="O171" i="1" s="1"/>
  <c r="J172" i="1"/>
  <c r="K171" i="1"/>
  <c r="L171" i="1" s="1"/>
  <c r="M173" i="1" l="1"/>
  <c r="N172" i="1"/>
  <c r="O172" i="1" s="1"/>
  <c r="J173" i="1"/>
  <c r="K172" i="1"/>
  <c r="L172" i="1" s="1"/>
  <c r="M174" i="1" l="1"/>
  <c r="N173" i="1"/>
  <c r="O173" i="1" s="1"/>
  <c r="J174" i="1"/>
  <c r="K173" i="1"/>
  <c r="L173" i="1" s="1"/>
  <c r="M175" i="1" l="1"/>
  <c r="N174" i="1"/>
  <c r="O174" i="1" s="1"/>
  <c r="J175" i="1"/>
  <c r="K174" i="1"/>
  <c r="L174" i="1" s="1"/>
  <c r="M176" i="1" l="1"/>
  <c r="N175" i="1"/>
  <c r="O175" i="1" s="1"/>
  <c r="J176" i="1"/>
  <c r="K175" i="1"/>
  <c r="L175" i="1" s="1"/>
  <c r="M177" i="1" l="1"/>
  <c r="N176" i="1"/>
  <c r="O176" i="1" s="1"/>
  <c r="J177" i="1"/>
  <c r="K176" i="1"/>
  <c r="L176" i="1" s="1"/>
  <c r="M178" i="1" l="1"/>
  <c r="N177" i="1"/>
  <c r="O177" i="1" s="1"/>
  <c r="J178" i="1"/>
  <c r="K177" i="1"/>
  <c r="L177" i="1" s="1"/>
  <c r="M179" i="1" l="1"/>
  <c r="N178" i="1"/>
  <c r="O178" i="1" s="1"/>
  <c r="J179" i="1"/>
  <c r="K178" i="1"/>
  <c r="L178" i="1" s="1"/>
  <c r="M180" i="1" l="1"/>
  <c r="N179" i="1"/>
  <c r="O179" i="1" s="1"/>
  <c r="J180" i="1"/>
  <c r="K179" i="1"/>
  <c r="L179" i="1" s="1"/>
  <c r="M181" i="1" l="1"/>
  <c r="N180" i="1"/>
  <c r="O180" i="1" s="1"/>
  <c r="J181" i="1"/>
  <c r="K180" i="1"/>
  <c r="L180" i="1" s="1"/>
  <c r="M182" i="1" l="1"/>
  <c r="N182" i="1" s="1"/>
  <c r="N181" i="1"/>
  <c r="O181" i="1" s="1"/>
  <c r="J182" i="1"/>
  <c r="K181" i="1"/>
  <c r="L181" i="1" s="1"/>
  <c r="O182" i="1" l="1"/>
  <c r="D192" i="1" s="1"/>
  <c r="D206" i="1" s="1"/>
  <c r="D207" i="1" s="1"/>
  <c r="K182" i="1"/>
  <c r="L182" i="1" s="1"/>
  <c r="B206" i="1" s="1"/>
  <c r="B207" i="1" s="1"/>
  <c r="F191" i="2" l="1"/>
  <c r="G19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Bertin</author>
  </authors>
  <commentList>
    <comment ref="J1" authorId="0" shapeId="0" xr:uid="{6AF4DBFD-02E4-45FC-A750-96E10012EC5A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MaxDD da Carteira: Cria exatamente a variável wealth do código. Cada linha pega o capital acumulado do mês anterior e multiplica pelo fator de crescimento do mês atual.</t>
        </r>
      </text>
    </comment>
    <comment ref="K1" authorId="0" shapeId="0" xr:uid="{0195B5D7-B0E6-4162-B807-5F733BBA5B52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Vai olhar para todo o histórico desde o começo até a linha atual e retornar o maior valor encontrado. Esta é a réplica perfeita do wealth.cummax() do código.</t>
        </r>
      </text>
    </comment>
    <comment ref="L1" authorId="0" shapeId="0" xr:uid="{90426E24-9D5C-4E2F-9609-2848B543A937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Replica o drawdown = (wealth - wealth.cummax()) / wealth.cummax(). Será zeros quando a carteira estiver na máxima, e números negativos indicando a profundidade do buraco nos meses de queda.</t>
        </r>
      </text>
    </comment>
    <comment ref="M1" authorId="0" shapeId="0" xr:uid="{7CB59802-5F9D-4F82-A049-A94A4556A7BB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MaxDD da Carteira: Cria exatamente a variável wealth do código. Cada linha pega o capital acumulado do mês anterior e multiplica pelo fator de crescimento do mês atual.</t>
        </r>
      </text>
    </comment>
    <comment ref="N1" authorId="0" shapeId="0" xr:uid="{13F7C33D-7545-4D5B-BE7B-A7E5AD9BEBFA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Vai olhar para todo o histórico desde o começo até a linha atual e retornar o maior valor encontrado. Esta é a réplica perfeita do wealth.cummax() do código.</t>
        </r>
      </text>
    </comment>
    <comment ref="O1" authorId="0" shapeId="0" xr:uid="{95BD8CFA-572C-4C36-98CF-2B51359F2492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Replica o drawdown = (wealth - wealth.cummax()) / wealth.cummax(). Será zeros quando a carteira estiver na máxima, e números negativos indicando a profundidade do buraco nos meses de queda.</t>
        </r>
      </text>
    </comment>
    <comment ref="B190" authorId="0" shapeId="0" xr:uid="{72F9DA2E-4D6D-465A-9287-AC9CA54FC4DF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Raiz de 12 é para transformar de mensal para anual</t>
        </r>
      </text>
    </comment>
    <comment ref="A207" authorId="0" shapeId="0" xr:uid="{9DEC211F-3795-42E0-8AD4-53ECBBBFE286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 "Se eu entrar no pior momento possível (no pico antes do crash histórico), quantos anos de rentabilidade média (CAGR) eu levarei apenas para voltar ao zero a zero?"</t>
        </r>
      </text>
    </comment>
    <comment ref="D209" authorId="0" shapeId="0" xr:uid="{B06EA226-AD59-4DCF-9EAC-C1647E181D3E}">
      <text>
        <r>
          <rPr>
            <b/>
            <sz val="9"/>
            <color indexed="81"/>
            <rFont val="Segoe UI"/>
            <family val="2"/>
          </rPr>
          <t>Rodrigo Bertin:</t>
        </r>
        <r>
          <rPr>
            <sz val="9"/>
            <color indexed="81"/>
            <rFont val="Segoe UI"/>
            <family val="2"/>
          </rPr>
          <t xml:space="preserve">
É a referência utilizada para o Beta</t>
        </r>
      </text>
    </comment>
  </commentList>
</comments>
</file>

<file path=xl/sharedStrings.xml><?xml version="1.0" encoding="utf-8"?>
<sst xmlns="http://schemas.openxmlformats.org/spreadsheetml/2006/main" count="73" uniqueCount="53">
  <si>
    <t>Portfolio</t>
  </si>
  <si>
    <t>CDI</t>
  </si>
  <si>
    <t>Global_BRL</t>
  </si>
  <si>
    <t>Ibovespa</t>
  </si>
  <si>
    <t>Ret Port</t>
  </si>
  <si>
    <t>Ret CDI</t>
  </si>
  <si>
    <t>Ret Global_BRL</t>
  </si>
  <si>
    <t>Ret Ibovespa</t>
  </si>
  <si>
    <t>CAGR</t>
  </si>
  <si>
    <t>Vol</t>
  </si>
  <si>
    <t>MaxDD</t>
  </si>
  <si>
    <t>Fator Port</t>
  </si>
  <si>
    <t>Pico Hist</t>
  </si>
  <si>
    <t>Drawdown Corrente</t>
  </si>
  <si>
    <t>Data</t>
  </si>
  <si>
    <t>Fator Global_BRL</t>
  </si>
  <si>
    <t>Cvar</t>
  </si>
  <si>
    <t>Meses</t>
  </si>
  <si>
    <t>Retorno Composto Total</t>
  </si>
  <si>
    <t>Anos</t>
  </si>
  <si>
    <t>Ganho / Perda</t>
  </si>
  <si>
    <t>Ganho Global_BRL</t>
  </si>
  <si>
    <t>Perda Global_BRL</t>
  </si>
  <si>
    <t>Ganho Port</t>
  </si>
  <si>
    <t>Perda Port</t>
  </si>
  <si>
    <t>Port - CDI</t>
  </si>
  <si>
    <t>Sharpe</t>
  </si>
  <si>
    <t>Global_BRL - CDI</t>
  </si>
  <si>
    <t>Ibovespa - CDI</t>
  </si>
  <si>
    <t>Downside Port Vol</t>
  </si>
  <si>
    <t>Downside Vol Anualizada</t>
  </si>
  <si>
    <t>Downside Global_BRL Vol</t>
  </si>
  <si>
    <t>Downside Ibovespa Vol</t>
  </si>
  <si>
    <t>Sortino (CDI)</t>
  </si>
  <si>
    <t>Downside Port (vs CDI)</t>
  </si>
  <si>
    <t>Downside Global_BRL (vs CDI)</t>
  </si>
  <si>
    <t>Downside Ibovespa (vs CDI)</t>
  </si>
  <si>
    <t>Downside Global_BRL (vs Zero)</t>
  </si>
  <si>
    <t>Downside Port (vs Zero)</t>
  </si>
  <si>
    <t>Downside Ibovespa (vs Zero)</t>
  </si>
  <si>
    <t>Sortino (Zero)</t>
  </si>
  <si>
    <t>Sortino (Ajustado)</t>
  </si>
  <si>
    <t>Covariância</t>
  </si>
  <si>
    <t>Variância</t>
  </si>
  <si>
    <t>Beta</t>
  </si>
  <si>
    <t>Alpha</t>
  </si>
  <si>
    <t>Calmar</t>
  </si>
  <si>
    <t>1 / Calmar</t>
  </si>
  <si>
    <t>Média</t>
  </si>
  <si>
    <t>Tracking Error</t>
  </si>
  <si>
    <t>Information Ratio</t>
  </si>
  <si>
    <t>Port - Global_BRL</t>
  </si>
  <si>
    <t>Ibovespa - Global_BRL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</si>
</sst>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6]mmmm\-yy;@"/>
    <numFmt numFmtId="165" formatCode="0.0000000"/>
    <numFmt numFmtId="166" formatCode="0.0000"/>
    <numFmt numFmtId="167" formatCode="0.0000%"/>
    <numFmt numFmtId="168" formatCode="0.000"/>
    <numFmt numFmtId="169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10" fontId="0" fillId="33" borderId="0" xfId="1" applyNumberFormat="1" applyFont="1" applyFill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33" borderId="22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34" borderId="22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33" borderId="2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1" fontId="0" fillId="0" borderId="12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 wrapText="1"/>
    </xf>
    <xf numFmtId="164" fontId="0" fillId="0" borderId="28" xfId="0" applyNumberFormat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6" fillId="33" borderId="21" xfId="0" applyFont="1" applyFill="1" applyBorder="1" applyAlignment="1">
      <alignment horizontal="center" vertical="center" wrapText="1"/>
    </xf>
    <xf numFmtId="0" fontId="16" fillId="34" borderId="24" xfId="0" applyFont="1" applyFill="1" applyBorder="1" applyAlignment="1">
      <alignment horizontal="center" vertical="center" wrapText="1"/>
    </xf>
    <xf numFmtId="0" fontId="16" fillId="33" borderId="23" xfId="0" applyFont="1" applyFill="1" applyBorder="1" applyAlignment="1">
      <alignment horizontal="center" vertical="center" wrapText="1"/>
    </xf>
    <xf numFmtId="0" fontId="16" fillId="34" borderId="30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6" fillId="34" borderId="2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6" fillId="35" borderId="2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6" fillId="33" borderId="30" xfId="0" applyFont="1" applyFill="1" applyBorder="1" applyAlignment="1">
      <alignment horizontal="center" vertical="center" wrapText="1"/>
    </xf>
    <xf numFmtId="0" fontId="16" fillId="36" borderId="22" xfId="0" applyFont="1" applyFill="1" applyBorder="1" applyAlignment="1">
      <alignment horizontal="center" vertical="center" wrapText="1"/>
    </xf>
    <xf numFmtId="0" fontId="16" fillId="35" borderId="22" xfId="0" applyFont="1" applyFill="1" applyBorder="1" applyAlignment="1">
      <alignment horizontal="center" vertical="center" wrapText="1"/>
    </xf>
    <xf numFmtId="0" fontId="16" fillId="36" borderId="30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0" fontId="16" fillId="35" borderId="30" xfId="0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9" fontId="0" fillId="0" borderId="0" xfId="1" applyNumberFormat="1" applyFont="1" applyAlignment="1">
      <alignment horizontal="center" vertical="center" wrapText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2C63-CFAD-4735-B42D-9836B3BF66DE}">
  <dimension ref="A1:AJ217"/>
  <sheetViews>
    <sheetView tabSelected="1" workbookViewId="0">
      <pane xSplit="5" ySplit="1" topLeftCell="F199" activePane="bottomRight" state="frozen"/>
      <selection pane="topRight" activeCell="F1" sqref="F1"/>
      <selection pane="bottomLeft" activeCell="A2" sqref="A2"/>
      <selection pane="bottomRight" activeCell="B212" sqref="B212"/>
    </sheetView>
  </sheetViews>
  <sheetFormatPr defaultRowHeight="15" x14ac:dyDescent="0.25"/>
  <cols>
    <col min="1" max="1" width="12.5703125" style="2" bestFit="1" customWidth="1"/>
    <col min="2" max="2" width="13.42578125" style="2" bestFit="1" customWidth="1"/>
    <col min="3" max="3" width="12.140625" style="2" customWidth="1"/>
    <col min="4" max="4" width="15.7109375" style="2" bestFit="1" customWidth="1"/>
    <col min="5" max="5" width="13.7109375" style="2" bestFit="1" customWidth="1"/>
    <col min="6" max="6" width="12.85546875" style="2" bestFit="1" customWidth="1"/>
    <col min="7" max="7" width="12.5703125" style="2" bestFit="1" customWidth="1"/>
    <col min="8" max="8" width="19.42578125" style="2" bestFit="1" customWidth="1"/>
    <col min="9" max="9" width="17.28515625" style="2" bestFit="1" customWidth="1"/>
    <col min="10" max="11" width="11.5703125" style="2" bestFit="1" customWidth="1"/>
    <col min="12" max="12" width="15" style="2" bestFit="1" customWidth="1"/>
    <col min="13" max="14" width="11.5703125" style="2" bestFit="1" customWidth="1"/>
    <col min="15" max="15" width="12.7109375" style="2" customWidth="1"/>
    <col min="16" max="16" width="11.5703125" style="2" bestFit="1" customWidth="1"/>
    <col min="17" max="17" width="12.28515625" style="2" bestFit="1" customWidth="1"/>
    <col min="18" max="18" width="11.140625" style="2" customWidth="1"/>
    <col min="19" max="19" width="11.7109375" style="2" customWidth="1"/>
    <col min="20" max="20" width="12.28515625" style="2" bestFit="1" customWidth="1"/>
    <col min="21" max="21" width="12.42578125" style="2" customWidth="1"/>
    <col min="22" max="22" width="11.7109375" style="2" customWidth="1"/>
    <col min="23" max="23" width="13" style="2" customWidth="1"/>
    <col min="24" max="24" width="11.5703125" style="2" bestFit="1" customWidth="1"/>
    <col min="25" max="25" width="12.42578125" style="2" customWidth="1"/>
    <col min="26" max="26" width="13.140625" style="2" customWidth="1"/>
    <col min="27" max="27" width="12.28515625" style="2" customWidth="1"/>
    <col min="28" max="28" width="12.140625" style="2" customWidth="1"/>
    <col min="29" max="29" width="11.5703125" style="2" customWidth="1"/>
    <col min="30" max="30" width="12.7109375" style="2" customWidth="1"/>
    <col min="31" max="31" width="13.140625" style="2" customWidth="1"/>
    <col min="32" max="32" width="15.85546875" style="2" customWidth="1"/>
    <col min="33" max="33" width="11.7109375" style="2" customWidth="1"/>
    <col min="34" max="34" width="12.28515625" style="2" customWidth="1"/>
    <col min="35" max="35" width="12.140625" style="2" customWidth="1"/>
    <col min="36" max="36" width="12.28515625" style="2" bestFit="1" customWidth="1"/>
    <col min="37" max="16384" width="9.140625" style="2"/>
  </cols>
  <sheetData>
    <row r="1" spans="1:36" ht="45.75" thickBot="1" x14ac:dyDescent="0.3">
      <c r="A1" s="27" t="s">
        <v>14</v>
      </c>
      <c r="B1" s="23" t="s">
        <v>0</v>
      </c>
      <c r="C1" s="20" t="s">
        <v>1</v>
      </c>
      <c r="D1" s="21" t="s">
        <v>2</v>
      </c>
      <c r="E1" s="43" t="s">
        <v>3</v>
      </c>
      <c r="F1" s="18" t="s">
        <v>4</v>
      </c>
      <c r="G1" s="20" t="s">
        <v>5</v>
      </c>
      <c r="H1" s="20" t="s">
        <v>6</v>
      </c>
      <c r="I1" s="22" t="s">
        <v>7</v>
      </c>
      <c r="J1" s="34" t="s">
        <v>11</v>
      </c>
      <c r="K1" s="19" t="s">
        <v>12</v>
      </c>
      <c r="L1" s="36" t="s">
        <v>13</v>
      </c>
      <c r="M1" s="35" t="s">
        <v>15</v>
      </c>
      <c r="N1" s="21" t="s">
        <v>12</v>
      </c>
      <c r="O1" s="37" t="s">
        <v>13</v>
      </c>
      <c r="P1" s="34" t="s">
        <v>23</v>
      </c>
      <c r="Q1" s="36" t="s">
        <v>24</v>
      </c>
      <c r="R1" s="41" t="s">
        <v>21</v>
      </c>
      <c r="S1" s="37" t="s">
        <v>22</v>
      </c>
      <c r="T1" s="34" t="s">
        <v>25</v>
      </c>
      <c r="U1" s="37" t="s">
        <v>27</v>
      </c>
      <c r="V1" s="43" t="s">
        <v>28</v>
      </c>
      <c r="W1" s="34" t="s">
        <v>34</v>
      </c>
      <c r="X1" s="46" t="s">
        <v>29</v>
      </c>
      <c r="Y1" s="47" t="s">
        <v>35</v>
      </c>
      <c r="Z1" s="49" t="s">
        <v>31</v>
      </c>
      <c r="AA1" s="48" t="s">
        <v>36</v>
      </c>
      <c r="AB1" s="43" t="s">
        <v>32</v>
      </c>
      <c r="AC1" s="34" t="s">
        <v>38</v>
      </c>
      <c r="AD1" s="46" t="s">
        <v>29</v>
      </c>
      <c r="AE1" s="47" t="s">
        <v>37</v>
      </c>
      <c r="AF1" s="49" t="s">
        <v>31</v>
      </c>
      <c r="AG1" s="48" t="s">
        <v>39</v>
      </c>
      <c r="AH1" s="54" t="s">
        <v>32</v>
      </c>
      <c r="AI1" s="34" t="s">
        <v>51</v>
      </c>
      <c r="AJ1" s="43" t="s">
        <v>52</v>
      </c>
    </row>
    <row r="2" spans="1:36" x14ac:dyDescent="0.25">
      <c r="A2" s="28">
        <v>40544</v>
      </c>
      <c r="B2" s="24">
        <v>-1.3531206601987301E-2</v>
      </c>
      <c r="C2" s="16">
        <v>8.5999999999999393E-3</v>
      </c>
      <c r="D2" s="16">
        <v>1.64595747851181E-2</v>
      </c>
      <c r="E2" s="17">
        <v>-3.93910973234253E-2</v>
      </c>
      <c r="F2" s="33">
        <f>1+B2</f>
        <v>0.98646879339801274</v>
      </c>
      <c r="G2" s="16">
        <f>1+C2</f>
        <v>1.0085999999999999</v>
      </c>
      <c r="H2" s="16">
        <f>1+D2</f>
        <v>1.0164595747851182</v>
      </c>
      <c r="I2" s="17">
        <f>1+E2</f>
        <v>0.96060890267657473</v>
      </c>
      <c r="J2" s="33">
        <f>1*(1+B2)</f>
        <v>0.98646879339801274</v>
      </c>
      <c r="K2" s="16">
        <f>MAX($J$2:J2)</f>
        <v>0.98646879339801274</v>
      </c>
      <c r="L2" s="17">
        <f>(J2-K2)/K2</f>
        <v>0</v>
      </c>
      <c r="M2" s="24">
        <f>1*(1+D2)</f>
        <v>1.0164595747851182</v>
      </c>
      <c r="N2" s="16">
        <f>MAX($M$2:M2)</f>
        <v>1.0164595747851182</v>
      </c>
      <c r="O2" s="38">
        <f>(M2-N2)/N2</f>
        <v>0</v>
      </c>
      <c r="P2" s="33" t="str">
        <f>IF(B2&gt;0,B2," ")</f>
        <v xml:space="preserve"> </v>
      </c>
      <c r="Q2" s="17">
        <f>IF(B2&lt;0,B2," ")</f>
        <v>-1.3531206601987301E-2</v>
      </c>
      <c r="R2" s="33">
        <f>IF(D2&gt;0,D2," ")</f>
        <v>1.64595747851181E-2</v>
      </c>
      <c r="S2" s="38" t="str">
        <f>IF(D2&lt;0,D2," ")</f>
        <v xml:space="preserve"> </v>
      </c>
      <c r="T2" s="33">
        <f>B2-C2</f>
        <v>-2.2131206601987238E-2</v>
      </c>
      <c r="U2" s="38">
        <f>D2-C2</f>
        <v>7.8595747851181608E-3</v>
      </c>
      <c r="V2" s="44">
        <f>E2-C2</f>
        <v>-4.7991097323425241E-2</v>
      </c>
      <c r="W2" s="33">
        <f>IF(T2&lt;0,T2,0)</f>
        <v>-2.2131206601987238E-2</v>
      </c>
      <c r="X2" s="38">
        <f>W2^2</f>
        <v>4.897903056598435E-4</v>
      </c>
      <c r="Y2" s="16">
        <f>IF(U2&lt;0,U2,0)</f>
        <v>0</v>
      </c>
      <c r="Z2" s="38">
        <f>Y2^2</f>
        <v>0</v>
      </c>
      <c r="AA2" s="16">
        <f>IF(V2&lt;0,V2,0)</f>
        <v>-4.7991097323425241E-2</v>
      </c>
      <c r="AB2" s="17">
        <f>AA2^2</f>
        <v>2.3031454223064736E-3</v>
      </c>
      <c r="AC2" s="33">
        <f>IF(B2&lt;0,B2,0)</f>
        <v>-1.3531206601987301E-2</v>
      </c>
      <c r="AD2" s="38">
        <f>AC2^2</f>
        <v>1.8309355210566471E-4</v>
      </c>
      <c r="AE2" s="16">
        <f>IF(D2&lt;0,D2,0)</f>
        <v>0</v>
      </c>
      <c r="AF2" s="38">
        <f>AE2^2</f>
        <v>0</v>
      </c>
      <c r="AG2" s="16">
        <f>IF(E2&lt;0,E2,0)</f>
        <v>-3.93910973234253E-2</v>
      </c>
      <c r="AH2" s="38">
        <f>AG2^2</f>
        <v>1.5516585483435639E-3</v>
      </c>
      <c r="AI2" s="33">
        <f>F2-$H2</f>
        <v>-2.9990781387105425E-2</v>
      </c>
      <c r="AJ2" s="17">
        <f>I2-$H2</f>
        <v>-5.5850672108543442E-2</v>
      </c>
    </row>
    <row r="3" spans="1:36" x14ac:dyDescent="0.25">
      <c r="A3" s="29">
        <v>40575</v>
      </c>
      <c r="B3" s="12">
        <v>1.2607762211492599E-2</v>
      </c>
      <c r="C3" s="7">
        <v>8.3999999999999596E-3</v>
      </c>
      <c r="D3" s="7">
        <v>4.5482469466234798E-2</v>
      </c>
      <c r="E3" s="13">
        <v>1.2136687945925701E-2</v>
      </c>
      <c r="F3" s="31">
        <f t="shared" ref="F3:I66" si="0">1+B3</f>
        <v>1.0126077622114926</v>
      </c>
      <c r="G3" s="7">
        <f t="shared" si="0"/>
        <v>1.0084</v>
      </c>
      <c r="H3" s="7">
        <f t="shared" si="0"/>
        <v>1.0454824694662348</v>
      </c>
      <c r="I3" s="13">
        <f t="shared" si="0"/>
        <v>1.0121366879459257</v>
      </c>
      <c r="J3" s="31">
        <f>J2*(1+B3)</f>
        <v>0.99890595737423293</v>
      </c>
      <c r="K3" s="7">
        <f>MAX($J$2:J3)</f>
        <v>0.99890595737423293</v>
      </c>
      <c r="L3" s="13">
        <f t="shared" ref="L3:L66" si="1">(J3-K3)/K3</f>
        <v>0</v>
      </c>
      <c r="M3" s="12">
        <f>M2*(1+D3)</f>
        <v>1.0626906663589444</v>
      </c>
      <c r="N3" s="7">
        <f>MAX($M$2:M3)</f>
        <v>1.0626906663589444</v>
      </c>
      <c r="O3" s="39">
        <f t="shared" ref="O3:O66" si="2">(M3-N3)/N3</f>
        <v>0</v>
      </c>
      <c r="P3" s="31">
        <f t="shared" ref="P3:P66" si="3">IF(B3&gt;0,B3," ")</f>
        <v>1.2607762211492599E-2</v>
      </c>
      <c r="Q3" s="13" t="str">
        <f t="shared" ref="Q3:Q66" si="4">IF(B3&lt;0,B3," ")</f>
        <v xml:space="preserve"> </v>
      </c>
      <c r="R3" s="31">
        <f t="shared" ref="R3:R66" si="5">IF(D3&gt;0,D3," ")</f>
        <v>4.5482469466234798E-2</v>
      </c>
      <c r="S3" s="39" t="str">
        <f t="shared" ref="S3:S66" si="6">IF(D3&lt;0,D3," ")</f>
        <v xml:space="preserve"> </v>
      </c>
      <c r="T3" s="31">
        <f t="shared" ref="T3:T66" si="7">B3-C3</f>
        <v>4.2077622114926397E-3</v>
      </c>
      <c r="U3" s="39">
        <f t="shared" ref="U3:U66" si="8">D3-C3</f>
        <v>3.7082469466234835E-2</v>
      </c>
      <c r="V3" s="17">
        <f t="shared" ref="V3:V66" si="9">E3-C3</f>
        <v>3.7366879459257412E-3</v>
      </c>
      <c r="W3" s="31">
        <f t="shared" ref="W3:W66" si="10">IF(T3&lt;0,T3,0)</f>
        <v>0</v>
      </c>
      <c r="X3" s="39">
        <f t="shared" ref="X3:Z66" si="11">W3^2</f>
        <v>0</v>
      </c>
      <c r="Y3" s="16">
        <f t="shared" ref="Y3:Y66" si="12">IF(U3&lt;0,U3,0)</f>
        <v>0</v>
      </c>
      <c r="Z3" s="39">
        <f t="shared" si="11"/>
        <v>0</v>
      </c>
      <c r="AA3" s="16">
        <f t="shared" ref="AA3:AA66" si="13">IF(V3&lt;0,V3,0)</f>
        <v>0</v>
      </c>
      <c r="AB3" s="13">
        <f t="shared" ref="AB3" si="14">AA3^2</f>
        <v>0</v>
      </c>
      <c r="AC3" s="33">
        <f t="shared" ref="AC3:AC66" si="15">IF(B3&lt;0,B3,0)</f>
        <v>0</v>
      </c>
      <c r="AD3" s="39">
        <f t="shared" ref="AD3:AD66" si="16">AC3^2</f>
        <v>0</v>
      </c>
      <c r="AE3" s="16">
        <f t="shared" ref="AE3:AE66" si="17">IF(D3&lt;0,D3,0)</f>
        <v>0</v>
      </c>
      <c r="AF3" s="39">
        <f t="shared" ref="AF3:AF66" si="18">AE3^2</f>
        <v>0</v>
      </c>
      <c r="AG3" s="16">
        <f t="shared" ref="AG3:AG66" si="19">IF(E3&lt;0,E3,0)</f>
        <v>0</v>
      </c>
      <c r="AH3" s="39">
        <f t="shared" ref="AH3:AH66" si="20">AG3^2</f>
        <v>0</v>
      </c>
      <c r="AI3" s="31">
        <f t="shared" ref="AI3:AI66" si="21">F3-$H3</f>
        <v>-3.2874707254742175E-2</v>
      </c>
      <c r="AJ3" s="13">
        <f t="shared" ref="AJ3:AJ66" si="22">I3-$H3</f>
        <v>-3.3345781520309092E-2</v>
      </c>
    </row>
    <row r="4" spans="1:36" x14ac:dyDescent="0.25">
      <c r="A4" s="29">
        <v>40603</v>
      </c>
      <c r="B4" s="12">
        <v>3.1073872195467301E-2</v>
      </c>
      <c r="C4" s="7">
        <v>9.2000000000000901E-3</v>
      </c>
      <c r="D4" s="7">
        <v>-1.9565799556085301E-2</v>
      </c>
      <c r="E4" s="13">
        <v>1.7868008251339301E-2</v>
      </c>
      <c r="F4" s="31">
        <f t="shared" si="0"/>
        <v>1.0310738721954673</v>
      </c>
      <c r="G4" s="7">
        <f t="shared" si="0"/>
        <v>1.0092000000000001</v>
      </c>
      <c r="H4" s="7">
        <f t="shared" si="0"/>
        <v>0.98043420044391472</v>
      </c>
      <c r="I4" s="13">
        <f t="shared" si="0"/>
        <v>1.0178680082513394</v>
      </c>
      <c r="J4" s="31">
        <f t="shared" ref="J4:J67" si="23">J3*(1+B4)</f>
        <v>1.0299458334289708</v>
      </c>
      <c r="K4" s="7">
        <f>MAX($J$2:J4)</f>
        <v>1.0299458334289708</v>
      </c>
      <c r="L4" s="13">
        <f t="shared" si="1"/>
        <v>0</v>
      </c>
      <c r="M4" s="12">
        <f t="shared" ref="M4:M67" si="24">M3*(1+D4)</f>
        <v>1.0418982737908427</v>
      </c>
      <c r="N4" s="7">
        <f>MAX($M$2:M4)</f>
        <v>1.0626906663589444</v>
      </c>
      <c r="O4" s="39">
        <f t="shared" si="2"/>
        <v>-1.9565799556085204E-2</v>
      </c>
      <c r="P4" s="31">
        <f t="shared" si="3"/>
        <v>3.1073872195467301E-2</v>
      </c>
      <c r="Q4" s="13" t="str">
        <f t="shared" si="4"/>
        <v xml:space="preserve"> </v>
      </c>
      <c r="R4" s="31" t="str">
        <f t="shared" si="5"/>
        <v xml:space="preserve"> </v>
      </c>
      <c r="S4" s="39">
        <f t="shared" si="6"/>
        <v>-1.9565799556085301E-2</v>
      </c>
      <c r="T4" s="31">
        <f t="shared" si="7"/>
        <v>2.1873872195467211E-2</v>
      </c>
      <c r="U4" s="39">
        <f t="shared" si="8"/>
        <v>-2.8765799556085391E-2</v>
      </c>
      <c r="V4" s="17">
        <f t="shared" si="9"/>
        <v>8.6680082513392112E-3</v>
      </c>
      <c r="W4" s="31">
        <f t="shared" si="10"/>
        <v>0</v>
      </c>
      <c r="X4" s="39">
        <f t="shared" si="11"/>
        <v>0</v>
      </c>
      <c r="Y4" s="16">
        <f t="shared" si="12"/>
        <v>-2.8765799556085391E-2</v>
      </c>
      <c r="Z4" s="39">
        <f t="shared" si="11"/>
        <v>8.2747122410088247E-4</v>
      </c>
      <c r="AA4" s="16">
        <f t="shared" si="13"/>
        <v>0</v>
      </c>
      <c r="AB4" s="13">
        <f t="shared" ref="AB4" si="25">AA4^2</f>
        <v>0</v>
      </c>
      <c r="AC4" s="33">
        <f t="shared" si="15"/>
        <v>0</v>
      </c>
      <c r="AD4" s="39">
        <f t="shared" si="16"/>
        <v>0</v>
      </c>
      <c r="AE4" s="16">
        <f t="shared" si="17"/>
        <v>-1.9565799556085301E-2</v>
      </c>
      <c r="AF4" s="39">
        <f t="shared" si="18"/>
        <v>3.8282051226890776E-4</v>
      </c>
      <c r="AG4" s="16">
        <f t="shared" si="19"/>
        <v>0</v>
      </c>
      <c r="AH4" s="39">
        <f t="shared" si="20"/>
        <v>0</v>
      </c>
      <c r="AI4" s="31">
        <f t="shared" si="21"/>
        <v>5.0639671751552595E-2</v>
      </c>
      <c r="AJ4" s="13">
        <f t="shared" si="22"/>
        <v>3.7433807807424668E-2</v>
      </c>
    </row>
    <row r="5" spans="1:36" x14ac:dyDescent="0.25">
      <c r="A5" s="29">
        <v>40634</v>
      </c>
      <c r="B5" s="12">
        <v>-2.1506382157375398E-2</v>
      </c>
      <c r="C5" s="7">
        <v>8.3999999999999596E-3</v>
      </c>
      <c r="D5" s="7">
        <v>1.6480558731310602E-2</v>
      </c>
      <c r="E5" s="13">
        <v>-3.5779375100237598E-2</v>
      </c>
      <c r="F5" s="31">
        <f t="shared" si="0"/>
        <v>0.97849361784262456</v>
      </c>
      <c r="G5" s="7">
        <f t="shared" si="0"/>
        <v>1.0084</v>
      </c>
      <c r="H5" s="7">
        <f t="shared" si="0"/>
        <v>1.0164805587313106</v>
      </c>
      <c r="I5" s="13">
        <f t="shared" si="0"/>
        <v>0.96422062489976246</v>
      </c>
      <c r="J5" s="31">
        <f t="shared" si="23"/>
        <v>1.0077954247338508</v>
      </c>
      <c r="K5" s="7">
        <f>MAX($J$2:J5)</f>
        <v>1.0299458334289708</v>
      </c>
      <c r="L5" s="13">
        <f t="shared" si="1"/>
        <v>-2.1506382157375523E-2</v>
      </c>
      <c r="M5" s="12">
        <f t="shared" si="24"/>
        <v>1.0590693394841038</v>
      </c>
      <c r="N5" s="7">
        <f>MAX($M$2:M5)</f>
        <v>1.0626906663589444</v>
      </c>
      <c r="O5" s="39">
        <f t="shared" si="2"/>
        <v>-3.4076961334837314E-3</v>
      </c>
      <c r="P5" s="31" t="str">
        <f t="shared" si="3"/>
        <v xml:space="preserve"> </v>
      </c>
      <c r="Q5" s="13">
        <f t="shared" si="4"/>
        <v>-2.1506382157375398E-2</v>
      </c>
      <c r="R5" s="31">
        <f t="shared" si="5"/>
        <v>1.6480558731310602E-2</v>
      </c>
      <c r="S5" s="39" t="str">
        <f t="shared" si="6"/>
        <v xml:space="preserve"> </v>
      </c>
      <c r="T5" s="31">
        <f t="shared" si="7"/>
        <v>-2.9906382157375358E-2</v>
      </c>
      <c r="U5" s="39">
        <f t="shared" si="8"/>
        <v>8.0805587313106421E-3</v>
      </c>
      <c r="V5" s="17">
        <f t="shared" si="9"/>
        <v>-4.4179375100237561E-2</v>
      </c>
      <c r="W5" s="31">
        <f t="shared" si="10"/>
        <v>-2.9906382157375358E-2</v>
      </c>
      <c r="X5" s="39">
        <f t="shared" si="11"/>
        <v>8.9439169374297921E-4</v>
      </c>
      <c r="Y5" s="16">
        <f t="shared" si="12"/>
        <v>0</v>
      </c>
      <c r="Z5" s="39">
        <f t="shared" si="11"/>
        <v>0</v>
      </c>
      <c r="AA5" s="16">
        <f t="shared" si="13"/>
        <v>-4.4179375100237561E-2</v>
      </c>
      <c r="AB5" s="13">
        <f t="shared" ref="AB5" si="26">AA5^2</f>
        <v>1.9518171842474905E-3</v>
      </c>
      <c r="AC5" s="33">
        <f t="shared" si="15"/>
        <v>-2.1506382157375398E-2</v>
      </c>
      <c r="AD5" s="39">
        <f t="shared" si="16"/>
        <v>4.6252447349907487E-4</v>
      </c>
      <c r="AE5" s="16">
        <f t="shared" si="17"/>
        <v>0</v>
      </c>
      <c r="AF5" s="39">
        <f t="shared" si="18"/>
        <v>0</v>
      </c>
      <c r="AG5" s="16">
        <f t="shared" si="19"/>
        <v>-3.5779375100237598E-2</v>
      </c>
      <c r="AH5" s="39">
        <f t="shared" si="20"/>
        <v>1.2801636825635022E-3</v>
      </c>
      <c r="AI5" s="31">
        <f t="shared" si="21"/>
        <v>-3.7986940888686038E-2</v>
      </c>
      <c r="AJ5" s="13">
        <f t="shared" si="22"/>
        <v>-5.2259933831548144E-2</v>
      </c>
    </row>
    <row r="6" spans="1:36" x14ac:dyDescent="0.25">
      <c r="A6" s="29">
        <v>40694</v>
      </c>
      <c r="B6" s="12">
        <v>-1.2199443604901701E-2</v>
      </c>
      <c r="C6" s="7">
        <v>9.9000000000000199E-3</v>
      </c>
      <c r="D6" s="7">
        <v>-1.8550999534406299E-2</v>
      </c>
      <c r="E6" s="13">
        <v>-2.2878139506751501E-2</v>
      </c>
      <c r="F6" s="31">
        <f t="shared" si="0"/>
        <v>0.98780055639509834</v>
      </c>
      <c r="G6" s="7">
        <f t="shared" si="0"/>
        <v>1.0099</v>
      </c>
      <c r="H6" s="7">
        <f t="shared" si="0"/>
        <v>0.98144900046559369</v>
      </c>
      <c r="I6" s="13">
        <f t="shared" si="0"/>
        <v>0.97712186049324845</v>
      </c>
      <c r="J6" s="31">
        <f t="shared" si="23"/>
        <v>0.99550088128453218</v>
      </c>
      <c r="K6" s="7">
        <f>MAX($J$2:J6)</f>
        <v>1.0299458334289708</v>
      </c>
      <c r="L6" s="13">
        <f t="shared" si="1"/>
        <v>-3.3443459866002861E-2</v>
      </c>
      <c r="M6" s="12">
        <f t="shared" si="24"/>
        <v>1.0394225446604302</v>
      </c>
      <c r="N6" s="7">
        <f>MAX($M$2:M6)</f>
        <v>1.0626906663589444</v>
      </c>
      <c r="O6" s="39">
        <f t="shared" si="2"/>
        <v>-2.1895479498504376E-2</v>
      </c>
      <c r="P6" s="31" t="str">
        <f t="shared" si="3"/>
        <v xml:space="preserve"> </v>
      </c>
      <c r="Q6" s="13">
        <f t="shared" si="4"/>
        <v>-1.2199443604901701E-2</v>
      </c>
      <c r="R6" s="31" t="str">
        <f t="shared" si="5"/>
        <v xml:space="preserve"> </v>
      </c>
      <c r="S6" s="39">
        <f t="shared" si="6"/>
        <v>-1.8550999534406299E-2</v>
      </c>
      <c r="T6" s="31">
        <f t="shared" si="7"/>
        <v>-2.2099443604901722E-2</v>
      </c>
      <c r="U6" s="39">
        <f t="shared" si="8"/>
        <v>-2.8450999534406319E-2</v>
      </c>
      <c r="V6" s="17">
        <f t="shared" si="9"/>
        <v>-3.277813950675152E-2</v>
      </c>
      <c r="W6" s="31">
        <f t="shared" si="10"/>
        <v>-2.2099443604901722E-2</v>
      </c>
      <c r="X6" s="39">
        <f t="shared" si="11"/>
        <v>4.8838540764623158E-4</v>
      </c>
      <c r="Y6" s="16">
        <f t="shared" si="12"/>
        <v>-2.8450999534406319E-2</v>
      </c>
      <c r="Z6" s="39">
        <f t="shared" si="11"/>
        <v>8.0945937450678854E-4</v>
      </c>
      <c r="AA6" s="16">
        <f t="shared" si="13"/>
        <v>-3.277813950675152E-2</v>
      </c>
      <c r="AB6" s="13">
        <f t="shared" ref="AB6" si="27">AA6^2</f>
        <v>1.0744064295240647E-3</v>
      </c>
      <c r="AC6" s="33">
        <f t="shared" si="15"/>
        <v>-1.2199443604901701E-2</v>
      </c>
      <c r="AD6" s="39">
        <f t="shared" si="16"/>
        <v>1.4882642426917702E-4</v>
      </c>
      <c r="AE6" s="16">
        <f t="shared" si="17"/>
        <v>-1.8550999534406299E-2</v>
      </c>
      <c r="AF6" s="39">
        <f t="shared" si="18"/>
        <v>3.4413958372554271E-4</v>
      </c>
      <c r="AG6" s="16">
        <f t="shared" si="19"/>
        <v>-2.2878139506751501E-2</v>
      </c>
      <c r="AH6" s="39">
        <f t="shared" si="20"/>
        <v>5.234092672903838E-4</v>
      </c>
      <c r="AI6" s="31">
        <f t="shared" si="21"/>
        <v>6.3515559295046486E-3</v>
      </c>
      <c r="AJ6" s="13">
        <f t="shared" si="22"/>
        <v>-4.3271399723452397E-3</v>
      </c>
    </row>
    <row r="7" spans="1:36" x14ac:dyDescent="0.25">
      <c r="A7" s="29">
        <v>40695</v>
      </c>
      <c r="B7" s="12">
        <v>-3.4924102336837399E-3</v>
      </c>
      <c r="C7" s="7">
        <v>9.5000000000000605E-3</v>
      </c>
      <c r="D7" s="7">
        <v>-2.7803769140827401E-2</v>
      </c>
      <c r="E7" s="13">
        <v>-3.4292788610337299E-2</v>
      </c>
      <c r="F7" s="31">
        <f t="shared" si="0"/>
        <v>0.99650758976631626</v>
      </c>
      <c r="G7" s="7">
        <f t="shared" si="0"/>
        <v>1.0095000000000001</v>
      </c>
      <c r="H7" s="7">
        <f t="shared" si="0"/>
        <v>0.97219623085917262</v>
      </c>
      <c r="I7" s="13">
        <f t="shared" si="0"/>
        <v>0.96570721138966276</v>
      </c>
      <c r="J7" s="31">
        <f t="shared" si="23"/>
        <v>0.99202418381909285</v>
      </c>
      <c r="K7" s="7">
        <f>MAX($J$2:J7)</f>
        <v>1.0299458334289708</v>
      </c>
      <c r="L7" s="13">
        <f t="shared" si="1"/>
        <v>-3.6819071818200828E-2</v>
      </c>
      <c r="M7" s="12">
        <f t="shared" si="24"/>
        <v>1.0105226801889202</v>
      </c>
      <c r="N7" s="7">
        <f>MAX($M$2:M7)</f>
        <v>1.0626906663589444</v>
      </c>
      <c r="O7" s="39">
        <f t="shared" si="2"/>
        <v>-4.9090471782127623E-2</v>
      </c>
      <c r="P7" s="31" t="str">
        <f t="shared" si="3"/>
        <v xml:space="preserve"> </v>
      </c>
      <c r="Q7" s="13">
        <f t="shared" si="4"/>
        <v>-3.4924102336837399E-3</v>
      </c>
      <c r="R7" s="31" t="str">
        <f t="shared" si="5"/>
        <v xml:space="preserve"> </v>
      </c>
      <c r="S7" s="39">
        <f t="shared" si="6"/>
        <v>-2.7803769140827401E-2</v>
      </c>
      <c r="T7" s="31">
        <f t="shared" si="7"/>
        <v>-1.2992410233683801E-2</v>
      </c>
      <c r="U7" s="39">
        <f t="shared" si="8"/>
        <v>-3.7303769140827461E-2</v>
      </c>
      <c r="V7" s="17">
        <f t="shared" si="9"/>
        <v>-4.3792788610337363E-2</v>
      </c>
      <c r="W7" s="31">
        <f t="shared" si="10"/>
        <v>-1.2992410233683801E-2</v>
      </c>
      <c r="X7" s="39">
        <f t="shared" si="11"/>
        <v>1.6880272368033155E-4</v>
      </c>
      <c r="Y7" s="16">
        <f t="shared" si="12"/>
        <v>-3.7303769140827461E-2</v>
      </c>
      <c r="Z7" s="39">
        <f t="shared" si="11"/>
        <v>1.3915711921121511E-3</v>
      </c>
      <c r="AA7" s="16">
        <f t="shared" si="13"/>
        <v>-4.3792788610337363E-2</v>
      </c>
      <c r="AB7" s="13">
        <f t="shared" ref="AB7" si="28">AA7^2</f>
        <v>1.917808334269694E-3</v>
      </c>
      <c r="AC7" s="33">
        <f t="shared" si="15"/>
        <v>-3.4924102336837399E-3</v>
      </c>
      <c r="AD7" s="39">
        <f t="shared" si="16"/>
        <v>1.2196929240338915E-5</v>
      </c>
      <c r="AE7" s="16">
        <f t="shared" si="17"/>
        <v>-2.7803769140827401E-2</v>
      </c>
      <c r="AF7" s="39">
        <f t="shared" si="18"/>
        <v>7.7304957843642608E-4</v>
      </c>
      <c r="AG7" s="16">
        <f t="shared" si="19"/>
        <v>-3.4292788610337299E-2</v>
      </c>
      <c r="AH7" s="39">
        <f t="shared" si="20"/>
        <v>1.1759953506732797E-3</v>
      </c>
      <c r="AI7" s="31">
        <f t="shared" si="21"/>
        <v>2.4311358907143643E-2</v>
      </c>
      <c r="AJ7" s="13">
        <f t="shared" si="22"/>
        <v>-6.4890194695098602E-3</v>
      </c>
    </row>
    <row r="8" spans="1:36" x14ac:dyDescent="0.25">
      <c r="A8" s="29">
        <v>40725</v>
      </c>
      <c r="B8" s="12">
        <v>-2.6598750913695301E-2</v>
      </c>
      <c r="C8" s="7">
        <v>9.7000000000000402E-3</v>
      </c>
      <c r="D8" s="7">
        <v>-2.5828320221473501E-2</v>
      </c>
      <c r="E8" s="13">
        <v>-5.7384142042176699E-2</v>
      </c>
      <c r="F8" s="31">
        <f t="shared" si="0"/>
        <v>0.97340124908630465</v>
      </c>
      <c r="G8" s="7">
        <f t="shared" si="0"/>
        <v>1.0097</v>
      </c>
      <c r="H8" s="7">
        <f t="shared" si="0"/>
        <v>0.97417167977852648</v>
      </c>
      <c r="I8" s="13">
        <f t="shared" si="0"/>
        <v>0.94261585795782332</v>
      </c>
      <c r="J8" s="31">
        <f t="shared" si="23"/>
        <v>0.96563757965332686</v>
      </c>
      <c r="K8" s="7">
        <f>MAX($J$2:J8)</f>
        <v>1.0299458334289708</v>
      </c>
      <c r="L8" s="13">
        <f t="shared" si="1"/>
        <v>-6.2438481411730404E-2</v>
      </c>
      <c r="M8" s="12">
        <f t="shared" si="24"/>
        <v>0.98442257681393908</v>
      </c>
      <c r="N8" s="7">
        <f>MAX($M$2:M8)</f>
        <v>1.0626906663589444</v>
      </c>
      <c r="O8" s="39">
        <f t="shared" si="2"/>
        <v>-7.3650867578589171E-2</v>
      </c>
      <c r="P8" s="31" t="str">
        <f t="shared" si="3"/>
        <v xml:space="preserve"> </v>
      </c>
      <c r="Q8" s="13">
        <f t="shared" si="4"/>
        <v>-2.6598750913695301E-2</v>
      </c>
      <c r="R8" s="31" t="str">
        <f t="shared" si="5"/>
        <v xml:space="preserve"> </v>
      </c>
      <c r="S8" s="39">
        <f t="shared" si="6"/>
        <v>-2.5828320221473501E-2</v>
      </c>
      <c r="T8" s="31">
        <f t="shared" si="7"/>
        <v>-3.6298750913695339E-2</v>
      </c>
      <c r="U8" s="39">
        <f t="shared" si="8"/>
        <v>-3.5528320221473543E-2</v>
      </c>
      <c r="V8" s="17">
        <f t="shared" si="9"/>
        <v>-6.7084142042176734E-2</v>
      </c>
      <c r="W8" s="31">
        <f t="shared" si="10"/>
        <v>-3.6298750913695339E-2</v>
      </c>
      <c r="X8" s="39">
        <f t="shared" si="11"/>
        <v>1.3175993178944983E-3</v>
      </c>
      <c r="Y8" s="16">
        <f t="shared" si="12"/>
        <v>-3.5528320221473543E-2</v>
      </c>
      <c r="Z8" s="39">
        <f t="shared" si="11"/>
        <v>1.2622615377595658E-3</v>
      </c>
      <c r="AA8" s="16">
        <f t="shared" si="13"/>
        <v>-6.7084142042176734E-2</v>
      </c>
      <c r="AB8" s="13">
        <f t="shared" ref="AB8" si="29">AA8^2</f>
        <v>4.500282113534944E-3</v>
      </c>
      <c r="AC8" s="33">
        <f t="shared" si="15"/>
        <v>-2.6598750913695301E-2</v>
      </c>
      <c r="AD8" s="39">
        <f t="shared" si="16"/>
        <v>7.0749355016880657E-4</v>
      </c>
      <c r="AE8" s="16">
        <f t="shared" si="17"/>
        <v>-2.5828320221473501E-2</v>
      </c>
      <c r="AF8" s="39">
        <f t="shared" si="18"/>
        <v>6.6710212546297696E-4</v>
      </c>
      <c r="AG8" s="16">
        <f t="shared" si="19"/>
        <v>-5.7384142042176699E-2</v>
      </c>
      <c r="AH8" s="39">
        <f t="shared" si="20"/>
        <v>3.2929397579167115E-3</v>
      </c>
      <c r="AI8" s="31">
        <f t="shared" si="21"/>
        <v>-7.7043069222182403E-4</v>
      </c>
      <c r="AJ8" s="13">
        <f t="shared" si="22"/>
        <v>-3.1555821820703156E-2</v>
      </c>
    </row>
    <row r="9" spans="1:36" x14ac:dyDescent="0.25">
      <c r="A9" s="29">
        <v>40756</v>
      </c>
      <c r="B9" s="12">
        <v>-2.1852212299188399E-2</v>
      </c>
      <c r="C9" s="7">
        <v>1.0699999999999901E-2</v>
      </c>
      <c r="D9" s="7">
        <v>-5.84541798184905E-2</v>
      </c>
      <c r="E9" s="13">
        <v>-3.9576356187205598E-2</v>
      </c>
      <c r="F9" s="31">
        <f t="shared" si="0"/>
        <v>0.97814778770081157</v>
      </c>
      <c r="G9" s="7">
        <f t="shared" si="0"/>
        <v>1.0106999999999999</v>
      </c>
      <c r="H9" s="7">
        <f t="shared" si="0"/>
        <v>0.94154582018150945</v>
      </c>
      <c r="I9" s="13">
        <f t="shared" si="0"/>
        <v>0.96042364381279444</v>
      </c>
      <c r="J9" s="31">
        <f t="shared" si="23"/>
        <v>0.94453626225866794</v>
      </c>
      <c r="K9" s="7">
        <f>MAX($J$2:J9)</f>
        <v>1.0299458334289708</v>
      </c>
      <c r="L9" s="13">
        <f t="shared" si="1"/>
        <v>-8.2926274759470717E-2</v>
      </c>
      <c r="M9" s="12">
        <f t="shared" si="24"/>
        <v>0.92687896249147528</v>
      </c>
      <c r="N9" s="7">
        <f>MAX($M$2:M9)</f>
        <v>1.0626906663589444</v>
      </c>
      <c r="O9" s="39">
        <f t="shared" si="2"/>
        <v>-0.12779984633985303</v>
      </c>
      <c r="P9" s="31" t="str">
        <f t="shared" si="3"/>
        <v xml:space="preserve"> </v>
      </c>
      <c r="Q9" s="13">
        <f t="shared" si="4"/>
        <v>-2.1852212299188399E-2</v>
      </c>
      <c r="R9" s="31" t="str">
        <f t="shared" si="5"/>
        <v xml:space="preserve"> </v>
      </c>
      <c r="S9" s="39">
        <f t="shared" si="6"/>
        <v>-5.84541798184905E-2</v>
      </c>
      <c r="T9" s="31">
        <f t="shared" si="7"/>
        <v>-3.2552212299188296E-2</v>
      </c>
      <c r="U9" s="39">
        <f t="shared" si="8"/>
        <v>-6.9154179818490397E-2</v>
      </c>
      <c r="V9" s="17">
        <f t="shared" si="9"/>
        <v>-5.0276356187205495E-2</v>
      </c>
      <c r="W9" s="31">
        <f t="shared" si="10"/>
        <v>-3.2552212299188296E-2</v>
      </c>
      <c r="X9" s="39">
        <f t="shared" si="11"/>
        <v>1.0596465255714258E-3</v>
      </c>
      <c r="Y9" s="16">
        <f t="shared" si="12"/>
        <v>-6.9154179818490397E-2</v>
      </c>
      <c r="Z9" s="39">
        <f t="shared" si="11"/>
        <v>4.7823005863681049E-3</v>
      </c>
      <c r="AA9" s="16">
        <f t="shared" si="13"/>
        <v>-5.0276356187205495E-2</v>
      </c>
      <c r="AB9" s="13">
        <f t="shared" ref="AB9" si="30">AA9^2</f>
        <v>2.5277119914627563E-3</v>
      </c>
      <c r="AC9" s="33">
        <f t="shared" si="15"/>
        <v>-2.1852212299188399E-2</v>
      </c>
      <c r="AD9" s="39">
        <f t="shared" si="16"/>
        <v>4.7751918236880076E-4</v>
      </c>
      <c r="AE9" s="16">
        <f t="shared" si="17"/>
        <v>-5.84541798184905E-2</v>
      </c>
      <c r="AF9" s="39">
        <f t="shared" si="18"/>
        <v>3.4168911382524221E-3</v>
      </c>
      <c r="AG9" s="16">
        <f t="shared" si="19"/>
        <v>-3.9576356187205598E-2</v>
      </c>
      <c r="AH9" s="39">
        <f t="shared" si="20"/>
        <v>1.5662879690565667E-3</v>
      </c>
      <c r="AI9" s="31">
        <f t="shared" si="21"/>
        <v>3.6601967519302114E-2</v>
      </c>
      <c r="AJ9" s="13">
        <f t="shared" si="22"/>
        <v>1.8877823631284985E-2</v>
      </c>
    </row>
    <row r="10" spans="1:36" x14ac:dyDescent="0.25">
      <c r="A10" s="29">
        <v>40787</v>
      </c>
      <c r="B10" s="12">
        <v>-7.93922061233698E-3</v>
      </c>
      <c r="C10" s="7">
        <v>9.4000000000000698E-3</v>
      </c>
      <c r="D10" s="7">
        <v>2.85554220608597E-2</v>
      </c>
      <c r="E10" s="13">
        <v>-7.3829542437383794E-2</v>
      </c>
      <c r="F10" s="31">
        <f t="shared" si="0"/>
        <v>0.99206077938766302</v>
      </c>
      <c r="G10" s="7">
        <f t="shared" si="0"/>
        <v>1.0094000000000001</v>
      </c>
      <c r="H10" s="7">
        <f t="shared" si="0"/>
        <v>1.0285554220608597</v>
      </c>
      <c r="I10" s="13">
        <f t="shared" si="0"/>
        <v>0.92617045756261618</v>
      </c>
      <c r="J10" s="31">
        <f t="shared" si="23"/>
        <v>0.93703738049624419</v>
      </c>
      <c r="K10" s="7">
        <f>MAX($J$2:J10)</f>
        <v>1.0299458334289708</v>
      </c>
      <c r="L10" s="13">
        <f t="shared" si="1"/>
        <v>-9.0207125381932998E-2</v>
      </c>
      <c r="M10" s="12">
        <f t="shared" si="24"/>
        <v>0.95334638246475112</v>
      </c>
      <c r="N10" s="7">
        <f>MAX($M$2:M10)</f>
        <v>1.0626906663589444</v>
      </c>
      <c r="O10" s="39">
        <f t="shared" si="2"/>
        <v>-0.10289380283054082</v>
      </c>
      <c r="P10" s="31" t="str">
        <f t="shared" si="3"/>
        <v xml:space="preserve"> </v>
      </c>
      <c r="Q10" s="13">
        <f t="shared" si="4"/>
        <v>-7.93922061233698E-3</v>
      </c>
      <c r="R10" s="31">
        <f t="shared" si="5"/>
        <v>2.85554220608597E-2</v>
      </c>
      <c r="S10" s="39" t="str">
        <f t="shared" si="6"/>
        <v xml:space="preserve"> </v>
      </c>
      <c r="T10" s="31">
        <f t="shared" si="7"/>
        <v>-1.7339220612337052E-2</v>
      </c>
      <c r="U10" s="39">
        <f t="shared" si="8"/>
        <v>1.9155422060859628E-2</v>
      </c>
      <c r="V10" s="17">
        <f t="shared" si="9"/>
        <v>-8.3229542437383869E-2</v>
      </c>
      <c r="W10" s="31">
        <f t="shared" si="10"/>
        <v>-1.7339220612337052E-2</v>
      </c>
      <c r="X10" s="39">
        <f t="shared" si="11"/>
        <v>3.0064857144329409E-4</v>
      </c>
      <c r="Y10" s="16">
        <f t="shared" si="12"/>
        <v>0</v>
      </c>
      <c r="Z10" s="39">
        <f t="shared" si="11"/>
        <v>0</v>
      </c>
      <c r="AA10" s="16">
        <f t="shared" si="13"/>
        <v>-8.3229542437383869E-2</v>
      </c>
      <c r="AB10" s="13">
        <f t="shared" ref="AB10" si="31">AA10^2</f>
        <v>6.9271567343362822E-3</v>
      </c>
      <c r="AC10" s="33">
        <f t="shared" si="15"/>
        <v>-7.93922061233698E-3</v>
      </c>
      <c r="AD10" s="39">
        <f t="shared" si="16"/>
        <v>6.3031223931356368E-5</v>
      </c>
      <c r="AE10" s="16">
        <f t="shared" si="17"/>
        <v>0</v>
      </c>
      <c r="AF10" s="39">
        <f t="shared" si="18"/>
        <v>0</v>
      </c>
      <c r="AG10" s="16">
        <f t="shared" si="19"/>
        <v>-7.3829542437383794E-2</v>
      </c>
      <c r="AH10" s="39">
        <f t="shared" si="20"/>
        <v>5.4508013365134542E-3</v>
      </c>
      <c r="AI10" s="31">
        <f t="shared" si="21"/>
        <v>-3.6494642673196687E-2</v>
      </c>
      <c r="AJ10" s="13">
        <f t="shared" si="22"/>
        <v>-0.10238496449824352</v>
      </c>
    </row>
    <row r="11" spans="1:36" x14ac:dyDescent="0.25">
      <c r="A11" s="29">
        <v>40817</v>
      </c>
      <c r="B11" s="12">
        <v>4.0293447458549E-2</v>
      </c>
      <c r="C11" s="7">
        <v>8.7999999999999103E-3</v>
      </c>
      <c r="D11" s="7">
        <v>2.7074303376202601E-2</v>
      </c>
      <c r="E11" s="13">
        <v>0.114937695894809</v>
      </c>
      <c r="F11" s="31">
        <f t="shared" si="0"/>
        <v>1.040293447458549</v>
      </c>
      <c r="G11" s="7">
        <f t="shared" si="0"/>
        <v>1.0087999999999999</v>
      </c>
      <c r="H11" s="7">
        <f t="shared" si="0"/>
        <v>1.0270743033762026</v>
      </c>
      <c r="I11" s="13">
        <f t="shared" si="0"/>
        <v>1.114937695894809</v>
      </c>
      <c r="J11" s="31">
        <f t="shared" si="23"/>
        <v>0.97479384695396598</v>
      </c>
      <c r="K11" s="7">
        <f>MAX($J$2:J11)</f>
        <v>1.0299458334289708</v>
      </c>
      <c r="L11" s="13">
        <f t="shared" si="1"/>
        <v>-5.3548433990347664E-2</v>
      </c>
      <c r="M11" s="12">
        <f t="shared" si="24"/>
        <v>0.97915757164620709</v>
      </c>
      <c r="N11" s="7">
        <f>MAX($M$2:M11)</f>
        <v>1.0626906663589444</v>
      </c>
      <c r="O11" s="39">
        <f t="shared" si="2"/>
        <v>-7.8605277487703434E-2</v>
      </c>
      <c r="P11" s="31">
        <f t="shared" si="3"/>
        <v>4.0293447458549E-2</v>
      </c>
      <c r="Q11" s="13" t="str">
        <f t="shared" si="4"/>
        <v xml:space="preserve"> </v>
      </c>
      <c r="R11" s="31">
        <f t="shared" si="5"/>
        <v>2.7074303376202601E-2</v>
      </c>
      <c r="S11" s="39" t="str">
        <f t="shared" si="6"/>
        <v xml:space="preserve"> </v>
      </c>
      <c r="T11" s="31">
        <f t="shared" si="7"/>
        <v>3.1493447458549088E-2</v>
      </c>
      <c r="U11" s="39">
        <f t="shared" si="8"/>
        <v>1.8274303376202693E-2</v>
      </c>
      <c r="V11" s="17">
        <f t="shared" si="9"/>
        <v>0.10613769589480909</v>
      </c>
      <c r="W11" s="31">
        <f t="shared" si="10"/>
        <v>0</v>
      </c>
      <c r="X11" s="39">
        <f t="shared" si="11"/>
        <v>0</v>
      </c>
      <c r="Y11" s="16">
        <f t="shared" si="12"/>
        <v>0</v>
      </c>
      <c r="Z11" s="39">
        <f t="shared" si="11"/>
        <v>0</v>
      </c>
      <c r="AA11" s="16">
        <f t="shared" si="13"/>
        <v>0</v>
      </c>
      <c r="AB11" s="13">
        <f t="shared" ref="AB11" si="32">AA11^2</f>
        <v>0</v>
      </c>
      <c r="AC11" s="33">
        <f t="shared" si="15"/>
        <v>0</v>
      </c>
      <c r="AD11" s="39">
        <f t="shared" si="16"/>
        <v>0</v>
      </c>
      <c r="AE11" s="16">
        <f t="shared" si="17"/>
        <v>0</v>
      </c>
      <c r="AF11" s="39">
        <f t="shared" si="18"/>
        <v>0</v>
      </c>
      <c r="AG11" s="16">
        <f t="shared" si="19"/>
        <v>0</v>
      </c>
      <c r="AH11" s="39">
        <f t="shared" si="20"/>
        <v>0</v>
      </c>
      <c r="AI11" s="31">
        <f t="shared" si="21"/>
        <v>1.3219144082346368E-2</v>
      </c>
      <c r="AJ11" s="13">
        <f t="shared" si="22"/>
        <v>8.7863392518606309E-2</v>
      </c>
    </row>
    <row r="12" spans="1:36" x14ac:dyDescent="0.25">
      <c r="A12" s="29">
        <v>40848</v>
      </c>
      <c r="B12" s="25">
        <v>-5.2500705368441203E-4</v>
      </c>
      <c r="C12" s="7">
        <v>8.5999999999999393E-3</v>
      </c>
      <c r="D12" s="7">
        <v>7.8003783940312196E-2</v>
      </c>
      <c r="E12" s="13">
        <v>-2.5077993760499101E-2</v>
      </c>
      <c r="F12" s="31">
        <f t="shared" si="0"/>
        <v>0.99947499294631559</v>
      </c>
      <c r="G12" s="7">
        <f t="shared" si="0"/>
        <v>1.0085999999999999</v>
      </c>
      <c r="H12" s="7">
        <f t="shared" si="0"/>
        <v>1.0780037839403123</v>
      </c>
      <c r="I12" s="13">
        <f t="shared" si="0"/>
        <v>0.97492200623950087</v>
      </c>
      <c r="J12" s="31">
        <f t="shared" si="23"/>
        <v>0.97428207330842698</v>
      </c>
      <c r="K12" s="7">
        <f>MAX($J$2:J12)</f>
        <v>1.0299458334289708</v>
      </c>
      <c r="L12" s="13">
        <f t="shared" si="1"/>
        <v>-5.4045327738473398E-2</v>
      </c>
      <c r="M12" s="12">
        <f t="shared" si="24"/>
        <v>1.0555355673084186</v>
      </c>
      <c r="N12" s="7">
        <f>MAX($M$2:M12)</f>
        <v>1.0626906663589444</v>
      </c>
      <c r="O12" s="39">
        <f t="shared" si="2"/>
        <v>-6.7330026291103516E-3</v>
      </c>
      <c r="P12" s="31" t="str">
        <f t="shared" si="3"/>
        <v xml:space="preserve"> </v>
      </c>
      <c r="Q12" s="13">
        <f t="shared" si="4"/>
        <v>-5.2500705368441203E-4</v>
      </c>
      <c r="R12" s="31">
        <f t="shared" si="5"/>
        <v>7.8003783940312196E-2</v>
      </c>
      <c r="S12" s="39" t="str">
        <f t="shared" si="6"/>
        <v xml:space="preserve"> </v>
      </c>
      <c r="T12" s="31">
        <f t="shared" si="7"/>
        <v>-9.1250070536843513E-3</v>
      </c>
      <c r="U12" s="39">
        <f t="shared" si="8"/>
        <v>6.9403783940312255E-2</v>
      </c>
      <c r="V12" s="17">
        <f t="shared" si="9"/>
        <v>-3.3677993760499042E-2</v>
      </c>
      <c r="W12" s="31">
        <f t="shared" si="10"/>
        <v>-9.1250070536843513E-3</v>
      </c>
      <c r="X12" s="39">
        <f t="shared" si="11"/>
        <v>8.3265753729789164E-5</v>
      </c>
      <c r="Y12" s="16">
        <f t="shared" si="12"/>
        <v>0</v>
      </c>
      <c r="Z12" s="39">
        <f t="shared" si="11"/>
        <v>0</v>
      </c>
      <c r="AA12" s="16">
        <f t="shared" si="13"/>
        <v>-3.3677993760499042E-2</v>
      </c>
      <c r="AB12" s="13">
        <f t="shared" ref="AB12" si="33">AA12^2</f>
        <v>1.1342072637322124E-3</v>
      </c>
      <c r="AC12" s="33">
        <f t="shared" si="15"/>
        <v>-5.2500705368441203E-4</v>
      </c>
      <c r="AD12" s="39">
        <f t="shared" si="16"/>
        <v>2.7563240641838709E-7</v>
      </c>
      <c r="AE12" s="16">
        <f t="shared" si="17"/>
        <v>0</v>
      </c>
      <c r="AF12" s="39">
        <f t="shared" si="18"/>
        <v>0</v>
      </c>
      <c r="AG12" s="16">
        <f t="shared" si="19"/>
        <v>-2.5077993760499101E-2</v>
      </c>
      <c r="AH12" s="39">
        <f t="shared" si="20"/>
        <v>6.2890577105163185E-4</v>
      </c>
      <c r="AI12" s="31">
        <f t="shared" si="21"/>
        <v>-7.8528790993996678E-2</v>
      </c>
      <c r="AJ12" s="13">
        <f t="shared" si="22"/>
        <v>-0.10308177770081139</v>
      </c>
    </row>
    <row r="13" spans="1:36" x14ac:dyDescent="0.25">
      <c r="A13" s="29">
        <v>40878</v>
      </c>
      <c r="B13" s="12">
        <v>7.5242102647978797E-3</v>
      </c>
      <c r="C13" s="7">
        <v>8.99999999999989E-3</v>
      </c>
      <c r="D13" s="7">
        <v>-2.0914981084352899E-2</v>
      </c>
      <c r="E13" s="13">
        <v>-2.1274725274724698E-3</v>
      </c>
      <c r="F13" s="31">
        <f t="shared" si="0"/>
        <v>1.0075242102647979</v>
      </c>
      <c r="G13" s="7">
        <f t="shared" si="0"/>
        <v>1.0089999999999999</v>
      </c>
      <c r="H13" s="7">
        <f t="shared" si="0"/>
        <v>0.97908501891564714</v>
      </c>
      <c r="I13" s="13">
        <f t="shared" si="0"/>
        <v>0.99787252747252753</v>
      </c>
      <c r="J13" s="31">
        <f t="shared" si="23"/>
        <v>0.98161277648522283</v>
      </c>
      <c r="K13" s="7">
        <f>MAX($J$2:J13)</f>
        <v>1.0299458334289708</v>
      </c>
      <c r="L13" s="13">
        <f t="shared" si="1"/>
        <v>-4.6927765883409682E-2</v>
      </c>
      <c r="M13" s="12">
        <f t="shared" si="24"/>
        <v>1.0334590608843013</v>
      </c>
      <c r="N13" s="7">
        <f>MAX($M$2:M13)</f>
        <v>1.0626906663589444</v>
      </c>
      <c r="O13" s="39">
        <f t="shared" si="2"/>
        <v>-2.7507163090834522E-2</v>
      </c>
      <c r="P13" s="31">
        <f t="shared" si="3"/>
        <v>7.5242102647978797E-3</v>
      </c>
      <c r="Q13" s="13" t="str">
        <f t="shared" si="4"/>
        <v xml:space="preserve"> </v>
      </c>
      <c r="R13" s="31" t="str">
        <f t="shared" si="5"/>
        <v xml:space="preserve"> </v>
      </c>
      <c r="S13" s="39">
        <f t="shared" si="6"/>
        <v>-2.0914981084352899E-2</v>
      </c>
      <c r="T13" s="31">
        <f t="shared" si="7"/>
        <v>-1.4757897352020103E-3</v>
      </c>
      <c r="U13" s="39">
        <f t="shared" si="8"/>
        <v>-2.9914981084352789E-2</v>
      </c>
      <c r="V13" s="17">
        <f t="shared" si="9"/>
        <v>-1.112747252747236E-2</v>
      </c>
      <c r="W13" s="31">
        <f t="shared" si="10"/>
        <v>-1.4757897352020103E-3</v>
      </c>
      <c r="X13" s="39">
        <f t="shared" si="11"/>
        <v>2.1779553425276195E-6</v>
      </c>
      <c r="Y13" s="16">
        <f t="shared" si="12"/>
        <v>-2.9914981084352789E-2</v>
      </c>
      <c r="Z13" s="39">
        <f t="shared" si="11"/>
        <v>8.9490609327718513E-4</v>
      </c>
      <c r="AA13" s="16">
        <f t="shared" si="13"/>
        <v>-1.112747252747236E-2</v>
      </c>
      <c r="AB13" s="13">
        <f t="shared" ref="AB13" si="34">AA13^2</f>
        <v>1.2382064484965213E-4</v>
      </c>
      <c r="AC13" s="33">
        <f t="shared" si="15"/>
        <v>0</v>
      </c>
      <c r="AD13" s="39">
        <f t="shared" si="16"/>
        <v>0</v>
      </c>
      <c r="AE13" s="16">
        <f t="shared" si="17"/>
        <v>-2.0914981084352899E-2</v>
      </c>
      <c r="AF13" s="39">
        <f t="shared" si="18"/>
        <v>4.3743643375883953E-4</v>
      </c>
      <c r="AG13" s="16">
        <f t="shared" si="19"/>
        <v>-2.1274725274724698E-3</v>
      </c>
      <c r="AH13" s="39">
        <f t="shared" si="20"/>
        <v>4.5261393551500988E-6</v>
      </c>
      <c r="AI13" s="31">
        <f t="shared" si="21"/>
        <v>2.8439191349150739E-2</v>
      </c>
      <c r="AJ13" s="13">
        <f t="shared" si="22"/>
        <v>1.8787508556880383E-2</v>
      </c>
    </row>
    <row r="14" spans="1:36" x14ac:dyDescent="0.25">
      <c r="A14" s="29">
        <v>40909</v>
      </c>
      <c r="B14" s="12">
        <v>4.2680529871660801E-2</v>
      </c>
      <c r="C14" s="7">
        <v>8.8999999999998993E-3</v>
      </c>
      <c r="D14" s="7">
        <v>1.09973606772457E-2</v>
      </c>
      <c r="E14" s="13">
        <v>0.11132254995242601</v>
      </c>
      <c r="F14" s="31">
        <f t="shared" si="0"/>
        <v>1.0426805298716608</v>
      </c>
      <c r="G14" s="7">
        <f t="shared" si="0"/>
        <v>1.0088999999999999</v>
      </c>
      <c r="H14" s="7">
        <f t="shared" si="0"/>
        <v>1.0109973606772458</v>
      </c>
      <c r="I14" s="13">
        <f t="shared" si="0"/>
        <v>1.111322549952426</v>
      </c>
      <c r="J14" s="31">
        <f t="shared" si="23"/>
        <v>1.0235085299144042</v>
      </c>
      <c r="K14" s="7">
        <f>MAX($J$2:J14)</f>
        <v>1.0299458334289708</v>
      </c>
      <c r="L14" s="13">
        <f t="shared" si="1"/>
        <v>-6.250137925346109E-3</v>
      </c>
      <c r="M14" s="12">
        <f t="shared" si="24"/>
        <v>1.0448243829220136</v>
      </c>
      <c r="N14" s="7">
        <f>MAX($M$2:M14)</f>
        <v>1.0626906663589444</v>
      </c>
      <c r="O14" s="39">
        <f t="shared" si="2"/>
        <v>-1.6812308607306491E-2</v>
      </c>
      <c r="P14" s="31">
        <f t="shared" si="3"/>
        <v>4.2680529871660801E-2</v>
      </c>
      <c r="Q14" s="13" t="str">
        <f t="shared" si="4"/>
        <v xml:space="preserve"> </v>
      </c>
      <c r="R14" s="31">
        <f t="shared" si="5"/>
        <v>1.09973606772457E-2</v>
      </c>
      <c r="S14" s="39" t="str">
        <f t="shared" si="6"/>
        <v xml:space="preserve"> </v>
      </c>
      <c r="T14" s="31">
        <f t="shared" si="7"/>
        <v>3.37805298716609E-2</v>
      </c>
      <c r="U14" s="39">
        <f t="shared" si="8"/>
        <v>2.0973606772458006E-3</v>
      </c>
      <c r="V14" s="17">
        <f t="shared" si="9"/>
        <v>0.10242254995242611</v>
      </c>
      <c r="W14" s="31">
        <f t="shared" si="10"/>
        <v>0</v>
      </c>
      <c r="X14" s="39">
        <f t="shared" si="11"/>
        <v>0</v>
      </c>
      <c r="Y14" s="16">
        <f t="shared" si="12"/>
        <v>0</v>
      </c>
      <c r="Z14" s="39">
        <f t="shared" si="11"/>
        <v>0</v>
      </c>
      <c r="AA14" s="16">
        <f t="shared" si="13"/>
        <v>0</v>
      </c>
      <c r="AB14" s="13">
        <f t="shared" ref="AB14" si="35">AA14^2</f>
        <v>0</v>
      </c>
      <c r="AC14" s="33">
        <f t="shared" si="15"/>
        <v>0</v>
      </c>
      <c r="AD14" s="39">
        <f t="shared" si="16"/>
        <v>0</v>
      </c>
      <c r="AE14" s="16">
        <f t="shared" si="17"/>
        <v>0</v>
      </c>
      <c r="AF14" s="39">
        <f t="shared" si="18"/>
        <v>0</v>
      </c>
      <c r="AG14" s="16">
        <f t="shared" si="19"/>
        <v>0</v>
      </c>
      <c r="AH14" s="39">
        <f t="shared" si="20"/>
        <v>0</v>
      </c>
      <c r="AI14" s="31">
        <f t="shared" si="21"/>
        <v>3.1683169194415051E-2</v>
      </c>
      <c r="AJ14" s="13">
        <f t="shared" si="22"/>
        <v>0.10032518927518019</v>
      </c>
    </row>
    <row r="15" spans="1:36" x14ac:dyDescent="0.25">
      <c r="A15" s="29">
        <v>40940</v>
      </c>
      <c r="B15" s="12">
        <v>8.5383134475334101E-3</v>
      </c>
      <c r="C15" s="7">
        <v>7.4000000000000697E-3</v>
      </c>
      <c r="D15" s="7">
        <v>1.8494177851232099E-2</v>
      </c>
      <c r="E15" s="13">
        <v>4.3442415017757398E-2</v>
      </c>
      <c r="F15" s="31">
        <f t="shared" si="0"/>
        <v>1.0085383134475334</v>
      </c>
      <c r="G15" s="7">
        <f t="shared" si="0"/>
        <v>1.0074000000000001</v>
      </c>
      <c r="H15" s="7">
        <f t="shared" si="0"/>
        <v>1.0184941778512322</v>
      </c>
      <c r="I15" s="13">
        <f t="shared" si="0"/>
        <v>1.0434424150177575</v>
      </c>
      <c r="J15" s="31">
        <f t="shared" si="23"/>
        <v>1.0322475665590376</v>
      </c>
      <c r="K15" s="7">
        <f>MAX($J$2:J15)</f>
        <v>1.0322475665590376</v>
      </c>
      <c r="L15" s="13">
        <f t="shared" si="1"/>
        <v>0</v>
      </c>
      <c r="M15" s="12">
        <f t="shared" si="24"/>
        <v>1.0641475508830773</v>
      </c>
      <c r="N15" s="7">
        <f>MAX($M$2:M15)</f>
        <v>1.0641475508830773</v>
      </c>
      <c r="O15" s="39">
        <f t="shared" si="2"/>
        <v>0</v>
      </c>
      <c r="P15" s="31">
        <f t="shared" si="3"/>
        <v>8.5383134475334101E-3</v>
      </c>
      <c r="Q15" s="13" t="str">
        <f t="shared" si="4"/>
        <v xml:space="preserve"> </v>
      </c>
      <c r="R15" s="31">
        <f t="shared" si="5"/>
        <v>1.8494177851232099E-2</v>
      </c>
      <c r="S15" s="39" t="str">
        <f t="shared" si="6"/>
        <v xml:space="preserve"> </v>
      </c>
      <c r="T15" s="31">
        <f t="shared" si="7"/>
        <v>1.1383134475333404E-3</v>
      </c>
      <c r="U15" s="39">
        <f t="shared" si="8"/>
        <v>1.109417785123203E-2</v>
      </c>
      <c r="V15" s="17">
        <f t="shared" si="9"/>
        <v>3.6042415017757332E-2</v>
      </c>
      <c r="W15" s="31">
        <f t="shared" si="10"/>
        <v>0</v>
      </c>
      <c r="X15" s="39">
        <f t="shared" si="11"/>
        <v>0</v>
      </c>
      <c r="Y15" s="16">
        <f t="shared" si="12"/>
        <v>0</v>
      </c>
      <c r="Z15" s="39">
        <f t="shared" si="11"/>
        <v>0</v>
      </c>
      <c r="AA15" s="16">
        <f t="shared" si="13"/>
        <v>0</v>
      </c>
      <c r="AB15" s="13">
        <f t="shared" ref="AB15" si="36">AA15^2</f>
        <v>0</v>
      </c>
      <c r="AC15" s="33">
        <f t="shared" si="15"/>
        <v>0</v>
      </c>
      <c r="AD15" s="39">
        <f t="shared" si="16"/>
        <v>0</v>
      </c>
      <c r="AE15" s="16">
        <f t="shared" si="17"/>
        <v>0</v>
      </c>
      <c r="AF15" s="39">
        <f t="shared" si="18"/>
        <v>0</v>
      </c>
      <c r="AG15" s="16">
        <f t="shared" si="19"/>
        <v>0</v>
      </c>
      <c r="AH15" s="39">
        <f t="shared" si="20"/>
        <v>0</v>
      </c>
      <c r="AI15" s="31">
        <f t="shared" si="21"/>
        <v>-9.9558644036987776E-3</v>
      </c>
      <c r="AJ15" s="13">
        <f t="shared" si="22"/>
        <v>2.4948237166525278E-2</v>
      </c>
    </row>
    <row r="16" spans="1:36" x14ac:dyDescent="0.25">
      <c r="A16" s="29">
        <v>40969</v>
      </c>
      <c r="B16" s="12">
        <v>-1.7451817970296399E-3</v>
      </c>
      <c r="C16" s="7">
        <v>8.0999999999999892E-3</v>
      </c>
      <c r="D16" s="7">
        <v>8.7064988528948506E-2</v>
      </c>
      <c r="E16" s="13">
        <v>-1.9768431289126601E-2</v>
      </c>
      <c r="F16" s="31">
        <f t="shared" si="0"/>
        <v>0.99825481820297035</v>
      </c>
      <c r="G16" s="7">
        <f t="shared" si="0"/>
        <v>1.0081</v>
      </c>
      <c r="H16" s="7">
        <f t="shared" si="0"/>
        <v>1.0870649885289485</v>
      </c>
      <c r="I16" s="13">
        <f t="shared" si="0"/>
        <v>0.98023156871087336</v>
      </c>
      <c r="J16" s="31">
        <f t="shared" si="23"/>
        <v>1.0304461068958506</v>
      </c>
      <c r="K16" s="7">
        <f>MAX($J$2:J16)</f>
        <v>1.0322475665590376</v>
      </c>
      <c r="L16" s="13">
        <f t="shared" si="1"/>
        <v>-1.7451817970296753E-3</v>
      </c>
      <c r="M16" s="12">
        <f t="shared" si="24"/>
        <v>1.1567975451938211</v>
      </c>
      <c r="N16" s="7">
        <f>MAX($M$2:M16)</f>
        <v>1.1567975451938211</v>
      </c>
      <c r="O16" s="39">
        <f t="shared" si="2"/>
        <v>0</v>
      </c>
      <c r="P16" s="31" t="str">
        <f t="shared" si="3"/>
        <v xml:space="preserve"> </v>
      </c>
      <c r="Q16" s="13">
        <f t="shared" si="4"/>
        <v>-1.7451817970296399E-3</v>
      </c>
      <c r="R16" s="31">
        <f t="shared" si="5"/>
        <v>8.7064988528948506E-2</v>
      </c>
      <c r="S16" s="39" t="str">
        <f t="shared" si="6"/>
        <v xml:space="preserve"> </v>
      </c>
      <c r="T16" s="31">
        <f t="shared" si="7"/>
        <v>-9.8451817970296295E-3</v>
      </c>
      <c r="U16" s="39">
        <f t="shared" si="8"/>
        <v>7.896498852894851E-2</v>
      </c>
      <c r="V16" s="17">
        <f t="shared" si="9"/>
        <v>-2.786843128912659E-2</v>
      </c>
      <c r="W16" s="31">
        <f t="shared" si="10"/>
        <v>-9.8451817970296295E-3</v>
      </c>
      <c r="X16" s="39">
        <f t="shared" si="11"/>
        <v>9.6927604616563564E-5</v>
      </c>
      <c r="Y16" s="16">
        <f t="shared" si="12"/>
        <v>0</v>
      </c>
      <c r="Z16" s="39">
        <f t="shared" si="11"/>
        <v>0</v>
      </c>
      <c r="AA16" s="16">
        <f t="shared" si="13"/>
        <v>-2.786843128912659E-2</v>
      </c>
      <c r="AB16" s="13">
        <f t="shared" ref="AB16" si="37">AA16^2</f>
        <v>7.7664946251676992E-4</v>
      </c>
      <c r="AC16" s="33">
        <f t="shared" si="15"/>
        <v>-1.7451817970296399E-3</v>
      </c>
      <c r="AD16" s="39">
        <f t="shared" si="16"/>
        <v>3.0456595046836034E-6</v>
      </c>
      <c r="AE16" s="16">
        <f t="shared" si="17"/>
        <v>0</v>
      </c>
      <c r="AF16" s="39">
        <f t="shared" si="18"/>
        <v>0</v>
      </c>
      <c r="AG16" s="16">
        <f t="shared" si="19"/>
        <v>-1.9768431289126601E-2</v>
      </c>
      <c r="AH16" s="39">
        <f t="shared" si="20"/>
        <v>3.907908756329196E-4</v>
      </c>
      <c r="AI16" s="31">
        <f t="shared" si="21"/>
        <v>-8.8810170325978155E-2</v>
      </c>
      <c r="AJ16" s="13">
        <f t="shared" si="22"/>
        <v>-0.10683341981807515</v>
      </c>
    </row>
    <row r="17" spans="1:36" x14ac:dyDescent="0.25">
      <c r="A17" s="29">
        <v>41000</v>
      </c>
      <c r="B17" s="12">
        <v>-1.7138405377336199E-2</v>
      </c>
      <c r="C17" s="7">
        <v>6.99999999999989E-3</v>
      </c>
      <c r="D17" s="7">
        <v>2.1725618451419099E-2</v>
      </c>
      <c r="E17" s="13">
        <v>-4.1713816248391697E-2</v>
      </c>
      <c r="F17" s="31">
        <f t="shared" si="0"/>
        <v>0.98286159462266376</v>
      </c>
      <c r="G17" s="7">
        <f t="shared" si="0"/>
        <v>1.0069999999999999</v>
      </c>
      <c r="H17" s="7">
        <f t="shared" si="0"/>
        <v>1.0217256184514192</v>
      </c>
      <c r="I17" s="13">
        <f t="shared" si="0"/>
        <v>0.95828618375160834</v>
      </c>
      <c r="J17" s="31">
        <f t="shared" si="23"/>
        <v>1.0127859037963716</v>
      </c>
      <c r="K17" s="7">
        <f>MAX($J$2:J17)</f>
        <v>1.0322475665590376</v>
      </c>
      <c r="L17" s="13">
        <f t="shared" si="1"/>
        <v>-1.8853677541271256E-2</v>
      </c>
      <c r="M17" s="12">
        <f t="shared" si="24"/>
        <v>1.1819296872862404</v>
      </c>
      <c r="N17" s="7">
        <f>MAX($M$2:M17)</f>
        <v>1.1819296872862404</v>
      </c>
      <c r="O17" s="39">
        <f t="shared" si="2"/>
        <v>0</v>
      </c>
      <c r="P17" s="31" t="str">
        <f t="shared" si="3"/>
        <v xml:space="preserve"> </v>
      </c>
      <c r="Q17" s="13">
        <f t="shared" si="4"/>
        <v>-1.7138405377336199E-2</v>
      </c>
      <c r="R17" s="31">
        <f t="shared" si="5"/>
        <v>2.1725618451419099E-2</v>
      </c>
      <c r="S17" s="39" t="str">
        <f t="shared" si="6"/>
        <v xml:space="preserve"> </v>
      </c>
      <c r="T17" s="31">
        <f t="shared" si="7"/>
        <v>-2.4138405377336088E-2</v>
      </c>
      <c r="U17" s="39">
        <f t="shared" si="8"/>
        <v>1.4725618451419209E-2</v>
      </c>
      <c r="V17" s="17">
        <f t="shared" si="9"/>
        <v>-4.8713816248391585E-2</v>
      </c>
      <c r="W17" s="31">
        <f t="shared" si="10"/>
        <v>-2.4138405377336088E-2</v>
      </c>
      <c r="X17" s="39">
        <f t="shared" si="11"/>
        <v>5.8266261416060775E-4</v>
      </c>
      <c r="Y17" s="16">
        <f t="shared" si="12"/>
        <v>0</v>
      </c>
      <c r="Z17" s="39">
        <f t="shared" si="11"/>
        <v>0</v>
      </c>
      <c r="AA17" s="16">
        <f t="shared" si="13"/>
        <v>-4.8713816248391585E-2</v>
      </c>
      <c r="AB17" s="13">
        <f t="shared" ref="AB17" si="38">AA17^2</f>
        <v>2.3730358934820599E-3</v>
      </c>
      <c r="AC17" s="33">
        <f t="shared" si="15"/>
        <v>-1.7138405377336199E-2</v>
      </c>
      <c r="AD17" s="39">
        <f t="shared" si="16"/>
        <v>2.9372493887790634E-4</v>
      </c>
      <c r="AE17" s="16">
        <f t="shared" si="17"/>
        <v>0</v>
      </c>
      <c r="AF17" s="39">
        <f t="shared" si="18"/>
        <v>0</v>
      </c>
      <c r="AG17" s="16">
        <f t="shared" si="19"/>
        <v>-4.1713816248391697E-2</v>
      </c>
      <c r="AH17" s="39">
        <f t="shared" si="20"/>
        <v>1.7400424660045872E-3</v>
      </c>
      <c r="AI17" s="31">
        <f t="shared" si="21"/>
        <v>-3.8864023828755423E-2</v>
      </c>
      <c r="AJ17" s="13">
        <f t="shared" si="22"/>
        <v>-6.3439434699810837E-2</v>
      </c>
    </row>
    <row r="18" spans="1:36" x14ac:dyDescent="0.25">
      <c r="A18" s="29">
        <v>41030</v>
      </c>
      <c r="B18" s="12">
        <v>-1.5188533818497701E-2</v>
      </c>
      <c r="C18" s="7">
        <v>7.3000000000000799E-3</v>
      </c>
      <c r="D18" s="7">
        <v>-2.7066940933511498E-2</v>
      </c>
      <c r="E18" s="13">
        <v>-0.11857004205758601</v>
      </c>
      <c r="F18" s="31">
        <f t="shared" si="0"/>
        <v>0.98481146618150228</v>
      </c>
      <c r="G18" s="7">
        <f t="shared" si="0"/>
        <v>1.0073000000000001</v>
      </c>
      <c r="H18" s="7">
        <f t="shared" si="0"/>
        <v>0.97293305906648853</v>
      </c>
      <c r="I18" s="13">
        <f t="shared" si="0"/>
        <v>0.88142995794241397</v>
      </c>
      <c r="J18" s="31">
        <f t="shared" si="23"/>
        <v>0.99740317084566266</v>
      </c>
      <c r="K18" s="7">
        <f>MAX($J$2:J18)</f>
        <v>1.0322475665590376</v>
      </c>
      <c r="L18" s="13">
        <f t="shared" si="1"/>
        <v>-3.3755851640830267E-2</v>
      </c>
      <c r="M18" s="12">
        <f t="shared" si="24"/>
        <v>1.1499384662529</v>
      </c>
      <c r="N18" s="7">
        <f>MAX($M$2:M18)</f>
        <v>1.1819296872862404</v>
      </c>
      <c r="O18" s="39">
        <f t="shared" si="2"/>
        <v>-2.7066940933511512E-2</v>
      </c>
      <c r="P18" s="31" t="str">
        <f t="shared" si="3"/>
        <v xml:space="preserve"> </v>
      </c>
      <c r="Q18" s="13">
        <f t="shared" si="4"/>
        <v>-1.5188533818497701E-2</v>
      </c>
      <c r="R18" s="31" t="str">
        <f t="shared" si="5"/>
        <v xml:space="preserve"> </v>
      </c>
      <c r="S18" s="39">
        <f t="shared" si="6"/>
        <v>-2.7066940933511498E-2</v>
      </c>
      <c r="T18" s="31">
        <f t="shared" si="7"/>
        <v>-2.2488533818497781E-2</v>
      </c>
      <c r="U18" s="39">
        <f t="shared" si="8"/>
        <v>-3.4366940933511579E-2</v>
      </c>
      <c r="V18" s="17">
        <f t="shared" si="9"/>
        <v>-0.12587004205758609</v>
      </c>
      <c r="W18" s="31">
        <f t="shared" si="10"/>
        <v>-2.2488533818497781E-2</v>
      </c>
      <c r="X18" s="39">
        <f t="shared" si="11"/>
        <v>5.0573415330571836E-4</v>
      </c>
      <c r="Y18" s="16">
        <f t="shared" si="12"/>
        <v>-3.4366940933511579E-2</v>
      </c>
      <c r="Z18" s="39">
        <f t="shared" si="11"/>
        <v>1.1810866291274737E-3</v>
      </c>
      <c r="AA18" s="16">
        <f t="shared" si="13"/>
        <v>-0.12587004205758609</v>
      </c>
      <c r="AB18" s="13">
        <f t="shared" ref="AB18" si="39">AA18^2</f>
        <v>1.5843267487578493E-2</v>
      </c>
      <c r="AC18" s="33">
        <f t="shared" si="15"/>
        <v>-1.5188533818497701E-2</v>
      </c>
      <c r="AD18" s="39">
        <f t="shared" si="16"/>
        <v>2.3069155955564833E-4</v>
      </c>
      <c r="AE18" s="16">
        <f t="shared" si="17"/>
        <v>-2.7066940933511498E-2</v>
      </c>
      <c r="AF18" s="39">
        <f t="shared" si="18"/>
        <v>7.3261929149820025E-4</v>
      </c>
      <c r="AG18" s="16">
        <f t="shared" si="19"/>
        <v>-0.11857004205758601</v>
      </c>
      <c r="AH18" s="39">
        <f t="shared" si="20"/>
        <v>1.4058854873537713E-2</v>
      </c>
      <c r="AI18" s="31">
        <f t="shared" si="21"/>
        <v>1.1878407115013756E-2</v>
      </c>
      <c r="AJ18" s="13">
        <f t="shared" si="22"/>
        <v>-9.150310112407456E-2</v>
      </c>
    </row>
    <row r="19" spans="1:36" x14ac:dyDescent="0.25">
      <c r="A19" s="29">
        <v>41061</v>
      </c>
      <c r="B19" s="12">
        <v>-8.4123045557049604E-4</v>
      </c>
      <c r="C19" s="7">
        <v>6.3999999999999604E-3</v>
      </c>
      <c r="D19" s="7">
        <v>4.6952695140483697E-2</v>
      </c>
      <c r="E19" s="13">
        <v>-2.4775188107909402E-3</v>
      </c>
      <c r="F19" s="31">
        <f t="shared" si="0"/>
        <v>0.9991587695444295</v>
      </c>
      <c r="G19" s="7">
        <f t="shared" si="0"/>
        <v>1.0064</v>
      </c>
      <c r="H19" s="7">
        <f t="shared" si="0"/>
        <v>1.0469526951404837</v>
      </c>
      <c r="I19" s="13">
        <f t="shared" si="0"/>
        <v>0.99752248118920905</v>
      </c>
      <c r="J19" s="31">
        <f t="shared" si="23"/>
        <v>0.99656412492186475</v>
      </c>
      <c r="K19" s="7">
        <f>MAX($J$2:J19)</f>
        <v>1.0322475665590376</v>
      </c>
      <c r="L19" s="13">
        <f t="shared" si="1"/>
        <v>-3.4568685645946735E-2</v>
      </c>
      <c r="M19" s="12">
        <f t="shared" si="24"/>
        <v>1.2039311764891878</v>
      </c>
      <c r="N19" s="7">
        <f>MAX($M$2:M19)</f>
        <v>1.2039311764891878</v>
      </c>
      <c r="O19" s="39">
        <f t="shared" si="2"/>
        <v>0</v>
      </c>
      <c r="P19" s="31" t="str">
        <f t="shared" si="3"/>
        <v xml:space="preserve"> </v>
      </c>
      <c r="Q19" s="13">
        <f t="shared" si="4"/>
        <v>-8.4123045557049604E-4</v>
      </c>
      <c r="R19" s="31">
        <f t="shared" si="5"/>
        <v>4.6952695140483697E-2</v>
      </c>
      <c r="S19" s="39" t="str">
        <f t="shared" si="6"/>
        <v xml:space="preserve"> </v>
      </c>
      <c r="T19" s="31">
        <f t="shared" si="7"/>
        <v>-7.2412304555704568E-3</v>
      </c>
      <c r="U19" s="39">
        <f t="shared" si="8"/>
        <v>4.0552695140483735E-2</v>
      </c>
      <c r="V19" s="17">
        <f t="shared" si="9"/>
        <v>-8.8775188107909006E-3</v>
      </c>
      <c r="W19" s="31">
        <f t="shared" si="10"/>
        <v>-7.2412304555704568E-3</v>
      </c>
      <c r="X19" s="39">
        <f t="shared" si="11"/>
        <v>5.2435418510681123E-5</v>
      </c>
      <c r="Y19" s="16">
        <f t="shared" si="12"/>
        <v>0</v>
      </c>
      <c r="Z19" s="39">
        <f t="shared" si="11"/>
        <v>0</v>
      </c>
      <c r="AA19" s="16">
        <f t="shared" si="13"/>
        <v>-8.8775188107909006E-3</v>
      </c>
      <c r="AB19" s="13">
        <f t="shared" ref="AB19" si="40">AA19^2</f>
        <v>7.8810340235946282E-5</v>
      </c>
      <c r="AC19" s="33">
        <f t="shared" si="15"/>
        <v>-8.4123045557049604E-4</v>
      </c>
      <c r="AD19" s="39">
        <f t="shared" si="16"/>
        <v>7.0766867937934435E-7</v>
      </c>
      <c r="AE19" s="16">
        <f t="shared" si="17"/>
        <v>0</v>
      </c>
      <c r="AF19" s="39">
        <f t="shared" si="18"/>
        <v>0</v>
      </c>
      <c r="AG19" s="16">
        <f t="shared" si="19"/>
        <v>-2.4775188107909402E-3</v>
      </c>
      <c r="AH19" s="39">
        <f t="shared" si="20"/>
        <v>6.1380994578229541E-6</v>
      </c>
      <c r="AI19" s="31">
        <f t="shared" si="21"/>
        <v>-4.7793925596054221E-2</v>
      </c>
      <c r="AJ19" s="13">
        <f t="shared" si="22"/>
        <v>-4.9430213951274671E-2</v>
      </c>
    </row>
    <row r="20" spans="1:36" x14ac:dyDescent="0.25">
      <c r="A20" s="29">
        <v>41091</v>
      </c>
      <c r="B20" s="12">
        <v>1.7672866142442501E-2</v>
      </c>
      <c r="C20" s="7">
        <v>6.7999999999999103E-3</v>
      </c>
      <c r="D20" s="7">
        <v>2.4192855920802801E-2</v>
      </c>
      <c r="E20" s="13">
        <v>3.2048569588814101E-2</v>
      </c>
      <c r="F20" s="31">
        <f t="shared" si="0"/>
        <v>1.0176728661424426</v>
      </c>
      <c r="G20" s="7">
        <f t="shared" si="0"/>
        <v>1.0067999999999999</v>
      </c>
      <c r="H20" s="7">
        <f t="shared" si="0"/>
        <v>1.0241928559208029</v>
      </c>
      <c r="I20" s="13">
        <f t="shared" si="0"/>
        <v>1.0320485695888142</v>
      </c>
      <c r="J20" s="31">
        <f t="shared" si="23"/>
        <v>1.0141762693039693</v>
      </c>
      <c r="K20" s="7">
        <f>MAX($J$2:J20)</f>
        <v>1.0322475665590376</v>
      </c>
      <c r="L20" s="13">
        <f t="shared" si="1"/>
        <v>-1.7506747257645127E-2</v>
      </c>
      <c r="M20" s="12">
        <f t="shared" si="24"/>
        <v>1.2330577099805535</v>
      </c>
      <c r="N20" s="7">
        <f>MAX($M$2:M20)</f>
        <v>1.2330577099805535</v>
      </c>
      <c r="O20" s="39">
        <f t="shared" si="2"/>
        <v>0</v>
      </c>
      <c r="P20" s="31">
        <f t="shared" si="3"/>
        <v>1.7672866142442501E-2</v>
      </c>
      <c r="Q20" s="13" t="str">
        <f t="shared" si="4"/>
        <v xml:space="preserve"> </v>
      </c>
      <c r="R20" s="31">
        <f t="shared" si="5"/>
        <v>2.4192855920802801E-2</v>
      </c>
      <c r="S20" s="39" t="str">
        <f t="shared" si="6"/>
        <v xml:space="preserve"> </v>
      </c>
      <c r="T20" s="31">
        <f t="shared" si="7"/>
        <v>1.0872866142442591E-2</v>
      </c>
      <c r="U20" s="39">
        <f t="shared" si="8"/>
        <v>1.7392855920802891E-2</v>
      </c>
      <c r="V20" s="17">
        <f t="shared" si="9"/>
        <v>2.524856958881419E-2</v>
      </c>
      <c r="W20" s="31">
        <f t="shared" si="10"/>
        <v>0</v>
      </c>
      <c r="X20" s="39">
        <f t="shared" si="11"/>
        <v>0</v>
      </c>
      <c r="Y20" s="16">
        <f t="shared" si="12"/>
        <v>0</v>
      </c>
      <c r="Z20" s="39">
        <f t="shared" si="11"/>
        <v>0</v>
      </c>
      <c r="AA20" s="16">
        <f t="shared" si="13"/>
        <v>0</v>
      </c>
      <c r="AB20" s="13">
        <f t="shared" ref="AB20" si="41">AA20^2</f>
        <v>0</v>
      </c>
      <c r="AC20" s="33">
        <f t="shared" si="15"/>
        <v>0</v>
      </c>
      <c r="AD20" s="39">
        <f t="shared" si="16"/>
        <v>0</v>
      </c>
      <c r="AE20" s="16">
        <f t="shared" si="17"/>
        <v>0</v>
      </c>
      <c r="AF20" s="39">
        <f t="shared" si="18"/>
        <v>0</v>
      </c>
      <c r="AG20" s="16">
        <f t="shared" si="19"/>
        <v>0</v>
      </c>
      <c r="AH20" s="39">
        <f t="shared" si="20"/>
        <v>0</v>
      </c>
      <c r="AI20" s="31">
        <f t="shared" si="21"/>
        <v>-6.5199897783603245E-3</v>
      </c>
      <c r="AJ20" s="13">
        <f t="shared" si="22"/>
        <v>7.8557136680112993E-3</v>
      </c>
    </row>
    <row r="21" spans="1:36" x14ac:dyDescent="0.25">
      <c r="A21" s="29">
        <v>41122</v>
      </c>
      <c r="B21" s="12">
        <v>-3.5768858085410901E-3</v>
      </c>
      <c r="C21" s="7">
        <v>6.8999999999999001E-3</v>
      </c>
      <c r="D21" s="7">
        <v>2.7394087761781701E-2</v>
      </c>
      <c r="E21" s="13">
        <v>1.71845196712836E-2</v>
      </c>
      <c r="F21" s="31">
        <f t="shared" si="0"/>
        <v>0.9964231141914589</v>
      </c>
      <c r="G21" s="7">
        <f t="shared" si="0"/>
        <v>1.0068999999999999</v>
      </c>
      <c r="H21" s="7">
        <f t="shared" si="0"/>
        <v>1.0273940877617818</v>
      </c>
      <c r="I21" s="13">
        <f t="shared" si="0"/>
        <v>1.0171845196712836</v>
      </c>
      <c r="J21" s="31">
        <f t="shared" si="23"/>
        <v>1.0105486765989369</v>
      </c>
      <c r="K21" s="7">
        <f>MAX($J$2:J21)</f>
        <v>1.0322475665590376</v>
      </c>
      <c r="L21" s="13">
        <f t="shared" si="1"/>
        <v>-2.1021013430366553E-2</v>
      </c>
      <c r="M21" s="12">
        <f t="shared" si="24"/>
        <v>1.2668362011031025</v>
      </c>
      <c r="N21" s="7">
        <f>MAX($M$2:M21)</f>
        <v>1.2668362011031025</v>
      </c>
      <c r="O21" s="39">
        <f t="shared" si="2"/>
        <v>0</v>
      </c>
      <c r="P21" s="31" t="str">
        <f t="shared" si="3"/>
        <v xml:space="preserve"> </v>
      </c>
      <c r="Q21" s="13">
        <f t="shared" si="4"/>
        <v>-3.5768858085410901E-3</v>
      </c>
      <c r="R21" s="31">
        <f t="shared" si="5"/>
        <v>2.7394087761781701E-2</v>
      </c>
      <c r="S21" s="39" t="str">
        <f t="shared" si="6"/>
        <v xml:space="preserve"> </v>
      </c>
      <c r="T21" s="31">
        <f t="shared" si="7"/>
        <v>-1.0476885808540989E-2</v>
      </c>
      <c r="U21" s="39">
        <f t="shared" si="8"/>
        <v>2.0494087761781802E-2</v>
      </c>
      <c r="V21" s="17">
        <f t="shared" si="9"/>
        <v>1.0284519671283701E-2</v>
      </c>
      <c r="W21" s="31">
        <f t="shared" si="10"/>
        <v>-1.0476885808540989E-2</v>
      </c>
      <c r="X21" s="39">
        <f t="shared" si="11"/>
        <v>1.0976513624520758E-4</v>
      </c>
      <c r="Y21" s="16">
        <f t="shared" si="12"/>
        <v>0</v>
      </c>
      <c r="Z21" s="39">
        <f t="shared" si="11"/>
        <v>0</v>
      </c>
      <c r="AA21" s="16">
        <f t="shared" si="13"/>
        <v>0</v>
      </c>
      <c r="AB21" s="13">
        <f t="shared" ref="AB21" si="42">AA21^2</f>
        <v>0</v>
      </c>
      <c r="AC21" s="33">
        <f t="shared" si="15"/>
        <v>-3.5768858085410901E-3</v>
      </c>
      <c r="AD21" s="39">
        <f t="shared" si="16"/>
        <v>1.2794112087342647E-5</v>
      </c>
      <c r="AE21" s="16">
        <f t="shared" si="17"/>
        <v>0</v>
      </c>
      <c r="AF21" s="39">
        <f t="shared" si="18"/>
        <v>0</v>
      </c>
      <c r="AG21" s="16">
        <f t="shared" si="19"/>
        <v>0</v>
      </c>
      <c r="AH21" s="39">
        <f t="shared" si="20"/>
        <v>0</v>
      </c>
      <c r="AI21" s="31">
        <f t="shared" si="21"/>
        <v>-3.0970973570322857E-2</v>
      </c>
      <c r="AJ21" s="13">
        <f t="shared" si="22"/>
        <v>-1.0209568090498111E-2</v>
      </c>
    </row>
    <row r="22" spans="1:36" x14ac:dyDescent="0.25">
      <c r="A22" s="29">
        <v>41153</v>
      </c>
      <c r="B22" s="12">
        <v>8.9196320969362405E-3</v>
      </c>
      <c r="C22" s="7">
        <v>5.4000000000000697E-3</v>
      </c>
      <c r="D22" s="7">
        <v>7.4733438501559599E-3</v>
      </c>
      <c r="E22" s="13">
        <v>3.7065596466938799E-2</v>
      </c>
      <c r="F22" s="31">
        <f t="shared" si="0"/>
        <v>1.0089196320969362</v>
      </c>
      <c r="G22" s="7">
        <f t="shared" si="0"/>
        <v>1.0054000000000001</v>
      </c>
      <c r="H22" s="7">
        <f t="shared" si="0"/>
        <v>1.007473343850156</v>
      </c>
      <c r="I22" s="13">
        <f t="shared" si="0"/>
        <v>1.0370655964669389</v>
      </c>
      <c r="J22" s="31">
        <f t="shared" si="23"/>
        <v>1.0195623990102451</v>
      </c>
      <c r="K22" s="7">
        <f>MAX($J$2:J22)</f>
        <v>1.0322475665590376</v>
      </c>
      <c r="L22" s="13">
        <f t="shared" si="1"/>
        <v>-1.2288881039533985E-2</v>
      </c>
      <c r="M22" s="12">
        <f t="shared" si="24"/>
        <v>1.2763037036357714</v>
      </c>
      <c r="N22" s="7">
        <f>MAX($M$2:M22)</f>
        <v>1.2763037036357714</v>
      </c>
      <c r="O22" s="39">
        <f t="shared" si="2"/>
        <v>0</v>
      </c>
      <c r="P22" s="31">
        <f t="shared" si="3"/>
        <v>8.9196320969362405E-3</v>
      </c>
      <c r="Q22" s="13" t="str">
        <f t="shared" si="4"/>
        <v xml:space="preserve"> </v>
      </c>
      <c r="R22" s="31">
        <f t="shared" si="5"/>
        <v>7.4733438501559599E-3</v>
      </c>
      <c r="S22" s="39" t="str">
        <f t="shared" si="6"/>
        <v xml:space="preserve"> </v>
      </c>
      <c r="T22" s="31">
        <f t="shared" si="7"/>
        <v>3.5196320969361709E-3</v>
      </c>
      <c r="U22" s="39">
        <f t="shared" si="8"/>
        <v>2.0733438501558902E-3</v>
      </c>
      <c r="V22" s="17">
        <f t="shared" si="9"/>
        <v>3.1665596466938728E-2</v>
      </c>
      <c r="W22" s="31">
        <f t="shared" si="10"/>
        <v>0</v>
      </c>
      <c r="X22" s="39">
        <f t="shared" si="11"/>
        <v>0</v>
      </c>
      <c r="Y22" s="16">
        <f t="shared" si="12"/>
        <v>0</v>
      </c>
      <c r="Z22" s="39">
        <f t="shared" si="11"/>
        <v>0</v>
      </c>
      <c r="AA22" s="16">
        <f t="shared" si="13"/>
        <v>0</v>
      </c>
      <c r="AB22" s="13">
        <f t="shared" ref="AB22" si="43">AA22^2</f>
        <v>0</v>
      </c>
      <c r="AC22" s="33">
        <f t="shared" si="15"/>
        <v>0</v>
      </c>
      <c r="AD22" s="39">
        <f t="shared" si="16"/>
        <v>0</v>
      </c>
      <c r="AE22" s="16">
        <f t="shared" si="17"/>
        <v>0</v>
      </c>
      <c r="AF22" s="39">
        <f t="shared" si="18"/>
        <v>0</v>
      </c>
      <c r="AG22" s="16">
        <f t="shared" si="19"/>
        <v>0</v>
      </c>
      <c r="AH22" s="39">
        <f t="shared" si="20"/>
        <v>0</v>
      </c>
      <c r="AI22" s="31">
        <f t="shared" si="21"/>
        <v>1.4462882467802807E-3</v>
      </c>
      <c r="AJ22" s="13">
        <f t="shared" si="22"/>
        <v>2.9592252616782888E-2</v>
      </c>
    </row>
    <row r="23" spans="1:36" x14ac:dyDescent="0.25">
      <c r="A23" s="29">
        <v>41183</v>
      </c>
      <c r="B23" s="12">
        <v>8.4515390249562095E-4</v>
      </c>
      <c r="C23" s="7">
        <v>6.09999999999999E-3</v>
      </c>
      <c r="D23" s="7">
        <v>9.0408855945975902E-3</v>
      </c>
      <c r="E23" s="13">
        <v>-3.5622549682303599E-2</v>
      </c>
      <c r="F23" s="31">
        <f t="shared" si="0"/>
        <v>1.0008451539024956</v>
      </c>
      <c r="G23" s="7">
        <f t="shared" si="0"/>
        <v>1.0061</v>
      </c>
      <c r="H23" s="7">
        <f t="shared" si="0"/>
        <v>1.0090408855945976</v>
      </c>
      <c r="I23" s="13">
        <f t="shared" si="0"/>
        <v>0.96437745031769639</v>
      </c>
      <c r="J23" s="31">
        <f t="shared" si="23"/>
        <v>1.0204240861506064</v>
      </c>
      <c r="K23" s="7">
        <f>MAX($J$2:J23)</f>
        <v>1.0322475665590376</v>
      </c>
      <c r="L23" s="13">
        <f t="shared" si="1"/>
        <v>-1.1454113132806259E-2</v>
      </c>
      <c r="M23" s="12">
        <f t="shared" si="24"/>
        <v>1.2878426194043036</v>
      </c>
      <c r="N23" s="7">
        <f>MAX($M$2:M23)</f>
        <v>1.2878426194043036</v>
      </c>
      <c r="O23" s="39">
        <f t="shared" si="2"/>
        <v>0</v>
      </c>
      <c r="P23" s="31">
        <f t="shared" si="3"/>
        <v>8.4515390249562095E-4</v>
      </c>
      <c r="Q23" s="13" t="str">
        <f t="shared" si="4"/>
        <v xml:space="preserve"> </v>
      </c>
      <c r="R23" s="31">
        <f t="shared" si="5"/>
        <v>9.0408855945975902E-3</v>
      </c>
      <c r="S23" s="39" t="str">
        <f t="shared" si="6"/>
        <v xml:space="preserve"> </v>
      </c>
      <c r="T23" s="31">
        <f t="shared" si="7"/>
        <v>-5.2548460975043688E-3</v>
      </c>
      <c r="U23" s="39">
        <f t="shared" si="8"/>
        <v>2.9408855945976002E-3</v>
      </c>
      <c r="V23" s="17">
        <f t="shared" si="9"/>
        <v>-4.1722549682303586E-2</v>
      </c>
      <c r="W23" s="31">
        <f t="shared" si="10"/>
        <v>-5.2548460975043688E-3</v>
      </c>
      <c r="X23" s="39">
        <f t="shared" si="11"/>
        <v>2.7613407508456895E-5</v>
      </c>
      <c r="Y23" s="16">
        <f t="shared" si="12"/>
        <v>0</v>
      </c>
      <c r="Z23" s="39">
        <f t="shared" si="11"/>
        <v>0</v>
      </c>
      <c r="AA23" s="16">
        <f t="shared" si="13"/>
        <v>-4.1722549682303586E-2</v>
      </c>
      <c r="AB23" s="13">
        <f t="shared" ref="AB23" si="44">AA23^2</f>
        <v>1.740771151992291E-3</v>
      </c>
      <c r="AC23" s="33">
        <f t="shared" si="15"/>
        <v>0</v>
      </c>
      <c r="AD23" s="39">
        <f t="shared" si="16"/>
        <v>0</v>
      </c>
      <c r="AE23" s="16">
        <f t="shared" si="17"/>
        <v>0</v>
      </c>
      <c r="AF23" s="39">
        <f t="shared" si="18"/>
        <v>0</v>
      </c>
      <c r="AG23" s="16">
        <f t="shared" si="19"/>
        <v>-3.5622549682303599E-2</v>
      </c>
      <c r="AH23" s="39">
        <f t="shared" si="20"/>
        <v>1.2689660458681882E-3</v>
      </c>
      <c r="AI23" s="31">
        <f t="shared" si="21"/>
        <v>-8.1957316921019707E-3</v>
      </c>
      <c r="AJ23" s="13">
        <f t="shared" si="22"/>
        <v>-4.4663435276901198E-2</v>
      </c>
    </row>
    <row r="24" spans="1:36" x14ac:dyDescent="0.25">
      <c r="A24" s="29">
        <v>41214</v>
      </c>
      <c r="B24" s="12">
        <v>1.23247362232634E-2</v>
      </c>
      <c r="C24" s="7">
        <v>5.4000000000000697E-3</v>
      </c>
      <c r="D24" s="7">
        <v>4.86168772494441E-2</v>
      </c>
      <c r="E24" s="13">
        <v>7.1318427139552797E-3</v>
      </c>
      <c r="F24" s="31">
        <f t="shared" si="0"/>
        <v>1.0123247362232635</v>
      </c>
      <c r="G24" s="7">
        <f t="shared" si="0"/>
        <v>1.0054000000000001</v>
      </c>
      <c r="H24" s="7">
        <f t="shared" si="0"/>
        <v>1.0486168772494442</v>
      </c>
      <c r="I24" s="13">
        <f t="shared" si="0"/>
        <v>1.0071318427139553</v>
      </c>
      <c r="J24" s="31">
        <f t="shared" si="23"/>
        <v>1.0330005438482772</v>
      </c>
      <c r="K24" s="7">
        <f>MAX($J$2:J24)</f>
        <v>1.0330005438482772</v>
      </c>
      <c r="L24" s="13">
        <f t="shared" si="1"/>
        <v>0</v>
      </c>
      <c r="M24" s="12">
        <f t="shared" si="24"/>
        <v>1.3504535059484852</v>
      </c>
      <c r="N24" s="7">
        <f>MAX($M$2:M24)</f>
        <v>1.3504535059484852</v>
      </c>
      <c r="O24" s="39">
        <f t="shared" si="2"/>
        <v>0</v>
      </c>
      <c r="P24" s="31">
        <f t="shared" si="3"/>
        <v>1.23247362232634E-2</v>
      </c>
      <c r="Q24" s="13" t="str">
        <f t="shared" si="4"/>
        <v xml:space="preserve"> </v>
      </c>
      <c r="R24" s="31">
        <f t="shared" si="5"/>
        <v>4.86168772494441E-2</v>
      </c>
      <c r="S24" s="39" t="str">
        <f t="shared" si="6"/>
        <v xml:space="preserve"> </v>
      </c>
      <c r="T24" s="31">
        <f t="shared" si="7"/>
        <v>6.9247362232633305E-3</v>
      </c>
      <c r="U24" s="39">
        <f t="shared" si="8"/>
        <v>4.3216877249444029E-2</v>
      </c>
      <c r="V24" s="17">
        <f t="shared" si="9"/>
        <v>1.73184271395521E-3</v>
      </c>
      <c r="W24" s="31">
        <f t="shared" si="10"/>
        <v>0</v>
      </c>
      <c r="X24" s="39">
        <f t="shared" si="11"/>
        <v>0</v>
      </c>
      <c r="Y24" s="16">
        <f t="shared" si="12"/>
        <v>0</v>
      </c>
      <c r="Z24" s="39">
        <f t="shared" si="11"/>
        <v>0</v>
      </c>
      <c r="AA24" s="16">
        <f t="shared" si="13"/>
        <v>0</v>
      </c>
      <c r="AB24" s="13">
        <f t="shared" ref="AB24" si="45">AA24^2</f>
        <v>0</v>
      </c>
      <c r="AC24" s="33">
        <f t="shared" si="15"/>
        <v>0</v>
      </c>
      <c r="AD24" s="39">
        <f t="shared" si="16"/>
        <v>0</v>
      </c>
      <c r="AE24" s="16">
        <f t="shared" si="17"/>
        <v>0</v>
      </c>
      <c r="AF24" s="39">
        <f t="shared" si="18"/>
        <v>0</v>
      </c>
      <c r="AG24" s="16">
        <f t="shared" si="19"/>
        <v>0</v>
      </c>
      <c r="AH24" s="39">
        <f t="shared" si="20"/>
        <v>0</v>
      </c>
      <c r="AI24" s="31">
        <f t="shared" si="21"/>
        <v>-3.6292141026180724E-2</v>
      </c>
      <c r="AJ24" s="13">
        <f t="shared" si="22"/>
        <v>-4.1485034535488907E-2</v>
      </c>
    </row>
    <row r="25" spans="1:36" x14ac:dyDescent="0.25">
      <c r="A25" s="29">
        <v>41244</v>
      </c>
      <c r="B25" s="12">
        <v>2.1654402273758502E-2</v>
      </c>
      <c r="C25" s="7">
        <v>5.3000000000000798E-3</v>
      </c>
      <c r="D25" s="7">
        <v>-4.9705101956939403E-3</v>
      </c>
      <c r="E25" s="13">
        <v>6.0495867768594898E-2</v>
      </c>
      <c r="F25" s="31">
        <f t="shared" si="0"/>
        <v>1.0216544022737586</v>
      </c>
      <c r="G25" s="7">
        <f t="shared" si="0"/>
        <v>1.0053000000000001</v>
      </c>
      <c r="H25" s="7">
        <f t="shared" si="0"/>
        <v>0.99502948980430606</v>
      </c>
      <c r="I25" s="13">
        <f t="shared" si="0"/>
        <v>1.0604958677685949</v>
      </c>
      <c r="J25" s="31">
        <f t="shared" si="23"/>
        <v>1.0553695531737792</v>
      </c>
      <c r="K25" s="7">
        <f>MAX($J$2:J25)</f>
        <v>1.0553695531737792</v>
      </c>
      <c r="L25" s="13">
        <f t="shared" si="1"/>
        <v>0</v>
      </c>
      <c r="M25" s="12">
        <f t="shared" si="24"/>
        <v>1.3437410630283577</v>
      </c>
      <c r="N25" s="7">
        <f>MAX($M$2:M25)</f>
        <v>1.3504535059484852</v>
      </c>
      <c r="O25" s="39">
        <f t="shared" si="2"/>
        <v>-4.9705101956938969E-3</v>
      </c>
      <c r="P25" s="31">
        <f t="shared" si="3"/>
        <v>2.1654402273758502E-2</v>
      </c>
      <c r="Q25" s="13" t="str">
        <f t="shared" si="4"/>
        <v xml:space="preserve"> </v>
      </c>
      <c r="R25" s="31" t="str">
        <f t="shared" si="5"/>
        <v xml:space="preserve"> </v>
      </c>
      <c r="S25" s="39">
        <f t="shared" si="6"/>
        <v>-4.9705101956939403E-3</v>
      </c>
      <c r="T25" s="31">
        <f t="shared" si="7"/>
        <v>1.6354402273758423E-2</v>
      </c>
      <c r="U25" s="39">
        <f t="shared" si="8"/>
        <v>-1.027051019569402E-2</v>
      </c>
      <c r="V25" s="17">
        <f t="shared" si="9"/>
        <v>5.5195867768594815E-2</v>
      </c>
      <c r="W25" s="31">
        <f t="shared" si="10"/>
        <v>0</v>
      </c>
      <c r="X25" s="39">
        <f t="shared" si="11"/>
        <v>0</v>
      </c>
      <c r="Y25" s="16">
        <f t="shared" si="12"/>
        <v>-1.027051019569402E-2</v>
      </c>
      <c r="Z25" s="39">
        <f t="shared" si="11"/>
        <v>1.0548337967985482E-4</v>
      </c>
      <c r="AA25" s="16">
        <f t="shared" si="13"/>
        <v>0</v>
      </c>
      <c r="AB25" s="13">
        <f t="shared" ref="AB25" si="46">AA25^2</f>
        <v>0</v>
      </c>
      <c r="AC25" s="33">
        <f t="shared" si="15"/>
        <v>0</v>
      </c>
      <c r="AD25" s="39">
        <f t="shared" si="16"/>
        <v>0</v>
      </c>
      <c r="AE25" s="16">
        <f t="shared" si="17"/>
        <v>-4.9705101956939403E-3</v>
      </c>
      <c r="AF25" s="39">
        <f t="shared" si="18"/>
        <v>2.4705971605497414E-5</v>
      </c>
      <c r="AG25" s="16">
        <f t="shared" si="19"/>
        <v>0</v>
      </c>
      <c r="AH25" s="39">
        <f t="shared" si="20"/>
        <v>0</v>
      </c>
      <c r="AI25" s="31">
        <f t="shared" si="21"/>
        <v>2.6624912469452533E-2</v>
      </c>
      <c r="AJ25" s="13">
        <f t="shared" si="22"/>
        <v>6.5466377964288891E-2</v>
      </c>
    </row>
    <row r="26" spans="1:36" x14ac:dyDescent="0.25">
      <c r="A26" s="29">
        <v>41275</v>
      </c>
      <c r="B26" s="12">
        <v>1.0449080250694E-2</v>
      </c>
      <c r="C26" s="7">
        <v>5.9000000000000103E-3</v>
      </c>
      <c r="D26" s="7">
        <v>2.2563051927840999E-2</v>
      </c>
      <c r="E26" s="13">
        <v>-1.95399658747866E-2</v>
      </c>
      <c r="F26" s="31">
        <f t="shared" si="0"/>
        <v>1.010449080250694</v>
      </c>
      <c r="G26" s="7">
        <f t="shared" si="0"/>
        <v>1.0059</v>
      </c>
      <c r="H26" s="7">
        <f t="shared" si="0"/>
        <v>1.022563051927841</v>
      </c>
      <c r="I26" s="13">
        <f t="shared" si="0"/>
        <v>0.98046003412521343</v>
      </c>
      <c r="J26" s="31">
        <f t="shared" si="23"/>
        <v>1.0663971943290311</v>
      </c>
      <c r="K26" s="7">
        <f>MAX($J$2:J26)</f>
        <v>1.0663971943290311</v>
      </c>
      <c r="L26" s="13">
        <f t="shared" si="1"/>
        <v>0</v>
      </c>
      <c r="M26" s="12">
        <f t="shared" si="24"/>
        <v>1.3740599624110388</v>
      </c>
      <c r="N26" s="7">
        <f>MAX($M$2:M26)</f>
        <v>1.3740599624110388</v>
      </c>
      <c r="O26" s="39">
        <f t="shared" si="2"/>
        <v>0</v>
      </c>
      <c r="P26" s="31">
        <f t="shared" si="3"/>
        <v>1.0449080250694E-2</v>
      </c>
      <c r="Q26" s="13" t="str">
        <f t="shared" si="4"/>
        <v xml:space="preserve"> </v>
      </c>
      <c r="R26" s="31">
        <f t="shared" si="5"/>
        <v>2.2563051927840999E-2</v>
      </c>
      <c r="S26" s="39" t="str">
        <f t="shared" si="6"/>
        <v xml:space="preserve"> </v>
      </c>
      <c r="T26" s="31">
        <f t="shared" si="7"/>
        <v>4.5490802506939895E-3</v>
      </c>
      <c r="U26" s="39">
        <f t="shared" si="8"/>
        <v>1.666305192784099E-2</v>
      </c>
      <c r="V26" s="17">
        <f t="shared" si="9"/>
        <v>-2.543996587478661E-2</v>
      </c>
      <c r="W26" s="31">
        <f t="shared" si="10"/>
        <v>0</v>
      </c>
      <c r="X26" s="39">
        <f t="shared" si="11"/>
        <v>0</v>
      </c>
      <c r="Y26" s="16">
        <f t="shared" si="12"/>
        <v>0</v>
      </c>
      <c r="Z26" s="39">
        <f t="shared" si="11"/>
        <v>0</v>
      </c>
      <c r="AA26" s="16">
        <f t="shared" si="13"/>
        <v>-2.543996587478661E-2</v>
      </c>
      <c r="AB26" s="13">
        <f t="shared" ref="AB26" si="47">AA26^2</f>
        <v>6.4719186371030725E-4</v>
      </c>
      <c r="AC26" s="33">
        <f t="shared" si="15"/>
        <v>0</v>
      </c>
      <c r="AD26" s="39">
        <f t="shared" si="16"/>
        <v>0</v>
      </c>
      <c r="AE26" s="16">
        <f t="shared" si="17"/>
        <v>0</v>
      </c>
      <c r="AF26" s="39">
        <f t="shared" si="18"/>
        <v>0</v>
      </c>
      <c r="AG26" s="16">
        <f t="shared" si="19"/>
        <v>-1.95399658747866E-2</v>
      </c>
      <c r="AH26" s="39">
        <f t="shared" si="20"/>
        <v>3.8181026638782489E-4</v>
      </c>
      <c r="AI26" s="31">
        <f t="shared" si="21"/>
        <v>-1.2113971677147006E-2</v>
      </c>
      <c r="AJ26" s="13">
        <f t="shared" si="22"/>
        <v>-4.2103017802627596E-2</v>
      </c>
    </row>
    <row r="27" spans="1:36" x14ac:dyDescent="0.25">
      <c r="A27" s="29">
        <v>41306</v>
      </c>
      <c r="B27" s="12">
        <v>-1.1678277898832501E-2</v>
      </c>
      <c r="C27" s="7">
        <v>4.7999999999999102E-3</v>
      </c>
      <c r="D27" s="7">
        <v>-1.00822688609019E-2</v>
      </c>
      <c r="E27" s="13">
        <v>-3.9105771322434299E-2</v>
      </c>
      <c r="F27" s="31">
        <f t="shared" si="0"/>
        <v>0.98832172210116753</v>
      </c>
      <c r="G27" s="7">
        <f t="shared" si="0"/>
        <v>1.0047999999999999</v>
      </c>
      <c r="H27" s="7">
        <f t="shared" si="0"/>
        <v>0.98991773113909809</v>
      </c>
      <c r="I27" s="13">
        <f t="shared" si="0"/>
        <v>0.96089422867756569</v>
      </c>
      <c r="J27" s="31">
        <f t="shared" si="23"/>
        <v>1.0539435115431215</v>
      </c>
      <c r="K27" s="7">
        <f>MAX($J$2:J27)</f>
        <v>1.0663971943290311</v>
      </c>
      <c r="L27" s="13">
        <f t="shared" si="1"/>
        <v>-1.1678277898832431E-2</v>
      </c>
      <c r="M27" s="12">
        <f t="shared" si="24"/>
        <v>1.36020632043901</v>
      </c>
      <c r="N27" s="7">
        <f>MAX($M$2:M27)</f>
        <v>1.3740599624110388</v>
      </c>
      <c r="O27" s="39">
        <f t="shared" si="2"/>
        <v>-1.0082268860901836E-2</v>
      </c>
      <c r="P27" s="31" t="str">
        <f t="shared" si="3"/>
        <v xml:space="preserve"> </v>
      </c>
      <c r="Q27" s="13">
        <f t="shared" si="4"/>
        <v>-1.1678277898832501E-2</v>
      </c>
      <c r="R27" s="31" t="str">
        <f t="shared" si="5"/>
        <v xml:space="preserve"> </v>
      </c>
      <c r="S27" s="39">
        <f t="shared" si="6"/>
        <v>-1.00822688609019E-2</v>
      </c>
      <c r="T27" s="31">
        <f t="shared" si="7"/>
        <v>-1.6478277898832411E-2</v>
      </c>
      <c r="U27" s="39">
        <f t="shared" si="8"/>
        <v>-1.488226886090181E-2</v>
      </c>
      <c r="V27" s="17">
        <f t="shared" si="9"/>
        <v>-4.3905771322434207E-2</v>
      </c>
      <c r="W27" s="31">
        <f t="shared" si="10"/>
        <v>-1.6478277898832411E-2</v>
      </c>
      <c r="X27" s="39">
        <f t="shared" si="11"/>
        <v>2.7153364251114869E-4</v>
      </c>
      <c r="Y27" s="16">
        <f t="shared" si="12"/>
        <v>-1.488226886090181E-2</v>
      </c>
      <c r="Z27" s="39">
        <f t="shared" si="11"/>
        <v>2.2148192644816768E-4</v>
      </c>
      <c r="AA27" s="16">
        <f t="shared" si="13"/>
        <v>-4.3905771322434207E-2</v>
      </c>
      <c r="AB27" s="13">
        <f t="shared" ref="AB27" si="48">AA27^2</f>
        <v>1.9277167554178861E-3</v>
      </c>
      <c r="AC27" s="33">
        <f t="shared" si="15"/>
        <v>-1.1678277898832501E-2</v>
      </c>
      <c r="AD27" s="39">
        <f t="shared" si="16"/>
        <v>1.3638217468235964E-4</v>
      </c>
      <c r="AE27" s="16">
        <f t="shared" si="17"/>
        <v>-1.00822688609019E-2</v>
      </c>
      <c r="AF27" s="39">
        <f t="shared" si="18"/>
        <v>1.016521453835121E-4</v>
      </c>
      <c r="AG27" s="16">
        <f t="shared" si="19"/>
        <v>-3.9105771322434299E-2</v>
      </c>
      <c r="AH27" s="39">
        <f t="shared" si="20"/>
        <v>1.5292613507225249E-3</v>
      </c>
      <c r="AI27" s="31">
        <f t="shared" si="21"/>
        <v>-1.5960090379305569E-3</v>
      </c>
      <c r="AJ27" s="13">
        <f t="shared" si="22"/>
        <v>-2.9023502461532402E-2</v>
      </c>
    </row>
    <row r="28" spans="1:36" x14ac:dyDescent="0.25">
      <c r="A28" s="29">
        <v>41334</v>
      </c>
      <c r="B28" s="12">
        <v>-9.0259624504325196E-3</v>
      </c>
      <c r="C28" s="7">
        <v>5.4000000000000697E-3</v>
      </c>
      <c r="D28" s="7">
        <v>4.3344124160208601E-2</v>
      </c>
      <c r="E28" s="13">
        <v>-1.86681526887712E-2</v>
      </c>
      <c r="F28" s="31">
        <f t="shared" si="0"/>
        <v>0.99097403754956748</v>
      </c>
      <c r="G28" s="7">
        <f t="shared" si="0"/>
        <v>1.0054000000000001</v>
      </c>
      <c r="H28" s="7">
        <f t="shared" si="0"/>
        <v>1.0433441241602086</v>
      </c>
      <c r="I28" s="13">
        <f t="shared" si="0"/>
        <v>0.9813318473112288</v>
      </c>
      <c r="J28" s="31">
        <f t="shared" si="23"/>
        <v>1.0444306569830564</v>
      </c>
      <c r="K28" s="7">
        <f>MAX($J$2:J28)</f>
        <v>1.0663971943290311</v>
      </c>
      <c r="L28" s="13">
        <f t="shared" si="1"/>
        <v>-2.059883265146429E-2</v>
      </c>
      <c r="M28" s="12">
        <f t="shared" si="24"/>
        <v>1.4191632720756189</v>
      </c>
      <c r="N28" s="7">
        <f>MAX($M$2:M28)</f>
        <v>1.4191632720756189</v>
      </c>
      <c r="O28" s="39">
        <f t="shared" si="2"/>
        <v>0</v>
      </c>
      <c r="P28" s="31" t="str">
        <f t="shared" si="3"/>
        <v xml:space="preserve"> </v>
      </c>
      <c r="Q28" s="13">
        <f t="shared" si="4"/>
        <v>-9.0259624504325196E-3</v>
      </c>
      <c r="R28" s="31">
        <f t="shared" si="5"/>
        <v>4.3344124160208601E-2</v>
      </c>
      <c r="S28" s="39" t="str">
        <f t="shared" si="6"/>
        <v xml:space="preserve"> </v>
      </c>
      <c r="T28" s="31">
        <f t="shared" si="7"/>
        <v>-1.4425962450432589E-2</v>
      </c>
      <c r="U28" s="39">
        <f t="shared" si="8"/>
        <v>3.794412416020853E-2</v>
      </c>
      <c r="V28" s="17">
        <f t="shared" si="9"/>
        <v>-2.4068152688771272E-2</v>
      </c>
      <c r="W28" s="31">
        <f t="shared" si="10"/>
        <v>-1.4425962450432589E-2</v>
      </c>
      <c r="X28" s="39">
        <f t="shared" si="11"/>
        <v>2.0810839262129104E-4</v>
      </c>
      <c r="Y28" s="16">
        <f t="shared" si="12"/>
        <v>0</v>
      </c>
      <c r="Z28" s="39">
        <f t="shared" si="11"/>
        <v>0</v>
      </c>
      <c r="AA28" s="16">
        <f t="shared" si="13"/>
        <v>-2.4068152688771272E-2</v>
      </c>
      <c r="AB28" s="13">
        <f t="shared" ref="AB28" si="49">AA28^2</f>
        <v>5.7927597385000777E-4</v>
      </c>
      <c r="AC28" s="33">
        <f t="shared" si="15"/>
        <v>-9.0259624504325196E-3</v>
      </c>
      <c r="AD28" s="39">
        <f t="shared" si="16"/>
        <v>8.1467998156617809E-5</v>
      </c>
      <c r="AE28" s="16">
        <f t="shared" si="17"/>
        <v>0</v>
      </c>
      <c r="AF28" s="39">
        <f t="shared" si="18"/>
        <v>0</v>
      </c>
      <c r="AG28" s="16">
        <f t="shared" si="19"/>
        <v>-1.86681526887712E-2</v>
      </c>
      <c r="AH28" s="39">
        <f t="shared" si="20"/>
        <v>3.4849992481127541E-4</v>
      </c>
      <c r="AI28" s="31">
        <f t="shared" si="21"/>
        <v>-5.2370086610641131E-2</v>
      </c>
      <c r="AJ28" s="13">
        <f t="shared" si="22"/>
        <v>-6.2012276848979808E-2</v>
      </c>
    </row>
    <row r="29" spans="1:36" x14ac:dyDescent="0.25">
      <c r="A29" s="29">
        <v>41365</v>
      </c>
      <c r="B29" s="12">
        <v>5.7997922078203397E-3</v>
      </c>
      <c r="C29" s="7">
        <v>6.0000000000000001E-3</v>
      </c>
      <c r="D29" s="7">
        <v>2.3251199447209901E-2</v>
      </c>
      <c r="E29" s="13">
        <v>-7.8435547984100299E-3</v>
      </c>
      <c r="F29" s="31">
        <f t="shared" si="0"/>
        <v>1.0057997922078203</v>
      </c>
      <c r="G29" s="7">
        <f t="shared" si="0"/>
        <v>1.006</v>
      </c>
      <c r="H29" s="7">
        <f t="shared" si="0"/>
        <v>1.02325119944721</v>
      </c>
      <c r="I29" s="13">
        <f t="shared" si="0"/>
        <v>0.99215644520158996</v>
      </c>
      <c r="J29" s="31">
        <f t="shared" si="23"/>
        <v>1.0504881377690354</v>
      </c>
      <c r="K29" s="7">
        <f>MAX($J$2:J29)</f>
        <v>1.0663971943290311</v>
      </c>
      <c r="L29" s="13">
        <f t="shared" si="1"/>
        <v>-1.491850939274611E-2</v>
      </c>
      <c r="M29" s="12">
        <f t="shared" si="24"/>
        <v>1.4521605203628043</v>
      </c>
      <c r="N29" s="7">
        <f>MAX($M$2:M29)</f>
        <v>1.4521605203628043</v>
      </c>
      <c r="O29" s="39">
        <f t="shared" si="2"/>
        <v>0</v>
      </c>
      <c r="P29" s="31">
        <f t="shared" si="3"/>
        <v>5.7997922078203397E-3</v>
      </c>
      <c r="Q29" s="13" t="str">
        <f t="shared" si="4"/>
        <v xml:space="preserve"> </v>
      </c>
      <c r="R29" s="31">
        <f t="shared" si="5"/>
        <v>2.3251199447209901E-2</v>
      </c>
      <c r="S29" s="39" t="str">
        <f t="shared" si="6"/>
        <v xml:space="preserve"> </v>
      </c>
      <c r="T29" s="31">
        <f t="shared" si="7"/>
        <v>-2.002077921796604E-4</v>
      </c>
      <c r="U29" s="39">
        <f t="shared" si="8"/>
        <v>1.7251199447209903E-2</v>
      </c>
      <c r="V29" s="17">
        <f t="shared" si="9"/>
        <v>-1.384355479841003E-2</v>
      </c>
      <c r="W29" s="31">
        <f t="shared" si="10"/>
        <v>-2.002077921796604E-4</v>
      </c>
      <c r="X29" s="39">
        <f t="shared" si="11"/>
        <v>4.0083160049454085E-8</v>
      </c>
      <c r="Y29" s="16">
        <f t="shared" si="12"/>
        <v>0</v>
      </c>
      <c r="Z29" s="39">
        <f t="shared" si="11"/>
        <v>0</v>
      </c>
      <c r="AA29" s="16">
        <f t="shared" si="13"/>
        <v>-1.384355479841003E-2</v>
      </c>
      <c r="AB29" s="13">
        <f t="shared" ref="AB29" si="50">AA29^2</f>
        <v>1.9164400945658136E-4</v>
      </c>
      <c r="AC29" s="33">
        <f t="shared" si="15"/>
        <v>0</v>
      </c>
      <c r="AD29" s="39">
        <f t="shared" si="16"/>
        <v>0</v>
      </c>
      <c r="AE29" s="16">
        <f t="shared" si="17"/>
        <v>0</v>
      </c>
      <c r="AF29" s="39">
        <f t="shared" si="18"/>
        <v>0</v>
      </c>
      <c r="AG29" s="16">
        <f t="shared" si="19"/>
        <v>-7.8435547984100299E-3</v>
      </c>
      <c r="AH29" s="39">
        <f t="shared" si="20"/>
        <v>6.152135187566101E-5</v>
      </c>
      <c r="AI29" s="31">
        <f t="shared" si="21"/>
        <v>-1.7451407239389649E-2</v>
      </c>
      <c r="AJ29" s="13">
        <f t="shared" si="22"/>
        <v>-3.1094754245620027E-2</v>
      </c>
    </row>
    <row r="30" spans="1:36" x14ac:dyDescent="0.25">
      <c r="A30" s="29">
        <v>41395</v>
      </c>
      <c r="B30" s="12">
        <v>2.0933383282815102E-3</v>
      </c>
      <c r="C30" s="7">
        <v>5.8000000000000204E-3</v>
      </c>
      <c r="D30" s="7">
        <v>4.4982664430827698E-2</v>
      </c>
      <c r="E30" s="13">
        <v>-4.2997674834555501E-2</v>
      </c>
      <c r="F30" s="31">
        <f t="shared" si="0"/>
        <v>1.0020933383282815</v>
      </c>
      <c r="G30" s="7">
        <f t="shared" si="0"/>
        <v>1.0058</v>
      </c>
      <c r="H30" s="7">
        <f t="shared" si="0"/>
        <v>1.0449826644308278</v>
      </c>
      <c r="I30" s="13">
        <f t="shared" si="0"/>
        <v>0.95700232516544448</v>
      </c>
      <c r="J30" s="31">
        <f t="shared" si="23"/>
        <v>1.0526871648512324</v>
      </c>
      <c r="K30" s="7">
        <f>MAX($J$2:J30)</f>
        <v>1.0663971943290311</v>
      </c>
      <c r="L30" s="13">
        <f t="shared" si="1"/>
        <v>-1.285640055197726E-2</v>
      </c>
      <c r="M30" s="12">
        <f t="shared" si="24"/>
        <v>1.5174825697499805</v>
      </c>
      <c r="N30" s="7">
        <f>MAX($M$2:M30)</f>
        <v>1.5174825697499805</v>
      </c>
      <c r="O30" s="39">
        <f t="shared" si="2"/>
        <v>0</v>
      </c>
      <c r="P30" s="31">
        <f t="shared" si="3"/>
        <v>2.0933383282815102E-3</v>
      </c>
      <c r="Q30" s="13" t="str">
        <f t="shared" si="4"/>
        <v xml:space="preserve"> </v>
      </c>
      <c r="R30" s="31">
        <f t="shared" si="5"/>
        <v>4.4982664430827698E-2</v>
      </c>
      <c r="S30" s="39" t="str">
        <f t="shared" si="6"/>
        <v xml:space="preserve"> </v>
      </c>
      <c r="T30" s="31">
        <f t="shared" si="7"/>
        <v>-3.7066616717185102E-3</v>
      </c>
      <c r="U30" s="39">
        <f t="shared" si="8"/>
        <v>3.9182664430827678E-2</v>
      </c>
      <c r="V30" s="17">
        <f t="shared" si="9"/>
        <v>-4.8797674834555521E-2</v>
      </c>
      <c r="W30" s="31">
        <f t="shared" si="10"/>
        <v>-3.7066616717185102E-3</v>
      </c>
      <c r="X30" s="39">
        <f t="shared" si="11"/>
        <v>1.3739340748587061E-5</v>
      </c>
      <c r="Y30" s="16">
        <f t="shared" si="12"/>
        <v>0</v>
      </c>
      <c r="Z30" s="39">
        <f t="shared" si="11"/>
        <v>0</v>
      </c>
      <c r="AA30" s="16">
        <f t="shared" si="13"/>
        <v>-4.8797674834555521E-2</v>
      </c>
      <c r="AB30" s="13">
        <f t="shared" ref="AB30" si="51">AA30^2</f>
        <v>2.3812130692590131E-3</v>
      </c>
      <c r="AC30" s="33">
        <f t="shared" si="15"/>
        <v>0</v>
      </c>
      <c r="AD30" s="39">
        <f t="shared" si="16"/>
        <v>0</v>
      </c>
      <c r="AE30" s="16">
        <f t="shared" si="17"/>
        <v>0</v>
      </c>
      <c r="AF30" s="39">
        <f t="shared" si="18"/>
        <v>0</v>
      </c>
      <c r="AG30" s="16">
        <f t="shared" si="19"/>
        <v>-4.2997674834555501E-2</v>
      </c>
      <c r="AH30" s="39">
        <f t="shared" si="20"/>
        <v>1.8488000411781675E-3</v>
      </c>
      <c r="AI30" s="31">
        <f t="shared" si="21"/>
        <v>-4.2889326102546255E-2</v>
      </c>
      <c r="AJ30" s="13">
        <f t="shared" si="22"/>
        <v>-8.7980339265383289E-2</v>
      </c>
    </row>
    <row r="31" spans="1:36" x14ac:dyDescent="0.25">
      <c r="A31" s="29">
        <v>41426</v>
      </c>
      <c r="B31" s="12">
        <v>-3.9822063302292397E-2</v>
      </c>
      <c r="C31" s="7">
        <v>5.9000000000000103E-3</v>
      </c>
      <c r="D31" s="7">
        <v>2.28067570488721E-3</v>
      </c>
      <c r="E31" s="13">
        <v>-0.113052741748588</v>
      </c>
      <c r="F31" s="31">
        <f t="shared" si="0"/>
        <v>0.96017793669770757</v>
      </c>
      <c r="G31" s="7">
        <f t="shared" si="0"/>
        <v>1.0059</v>
      </c>
      <c r="H31" s="7">
        <f t="shared" si="0"/>
        <v>1.0022806757048872</v>
      </c>
      <c r="I31" s="13">
        <f t="shared" si="0"/>
        <v>0.88694725825141196</v>
      </c>
      <c r="J31" s="31">
        <f t="shared" si="23"/>
        <v>1.0107669899350158</v>
      </c>
      <c r="K31" s="7">
        <f>MAX($J$2:J31)</f>
        <v>1.0663971943290311</v>
      </c>
      <c r="L31" s="13">
        <f t="shared" si="1"/>
        <v>-5.216649545764928E-2</v>
      </c>
      <c r="M31" s="12">
        <f t="shared" si="24"/>
        <v>1.5209434553793992</v>
      </c>
      <c r="N31" s="7">
        <f>MAX($M$2:M31)</f>
        <v>1.5209434553793992</v>
      </c>
      <c r="O31" s="39">
        <f t="shared" si="2"/>
        <v>0</v>
      </c>
      <c r="P31" s="31" t="str">
        <f t="shared" si="3"/>
        <v xml:space="preserve"> </v>
      </c>
      <c r="Q31" s="13">
        <f t="shared" si="4"/>
        <v>-3.9822063302292397E-2</v>
      </c>
      <c r="R31" s="31">
        <f t="shared" si="5"/>
        <v>2.28067570488721E-3</v>
      </c>
      <c r="S31" s="39" t="str">
        <f t="shared" si="6"/>
        <v xml:space="preserve"> </v>
      </c>
      <c r="T31" s="31">
        <f t="shared" si="7"/>
        <v>-4.5722063302292407E-2</v>
      </c>
      <c r="U31" s="39">
        <f t="shared" si="8"/>
        <v>-3.6193242951128002E-3</v>
      </c>
      <c r="V31" s="17">
        <f t="shared" si="9"/>
        <v>-0.11895274174858801</v>
      </c>
      <c r="W31" s="31">
        <f t="shared" si="10"/>
        <v>-4.5722063302292407E-2</v>
      </c>
      <c r="X31" s="39">
        <f t="shared" si="11"/>
        <v>2.0905070726188338E-3</v>
      </c>
      <c r="Y31" s="16">
        <f t="shared" si="12"/>
        <v>-3.6193242951128002E-3</v>
      </c>
      <c r="Z31" s="39">
        <f t="shared" si="11"/>
        <v>1.3099508353193768E-5</v>
      </c>
      <c r="AA31" s="16">
        <f t="shared" si="13"/>
        <v>-0.11895274174858801</v>
      </c>
      <c r="AB31" s="13">
        <f t="shared" ref="AB31" si="52">AA31^2</f>
        <v>1.4149754769506273E-2</v>
      </c>
      <c r="AC31" s="33">
        <f t="shared" si="15"/>
        <v>-3.9822063302292397E-2</v>
      </c>
      <c r="AD31" s="39">
        <f t="shared" si="16"/>
        <v>1.5857967256517828E-3</v>
      </c>
      <c r="AE31" s="16">
        <f t="shared" si="17"/>
        <v>0</v>
      </c>
      <c r="AF31" s="39">
        <f t="shared" si="18"/>
        <v>0</v>
      </c>
      <c r="AG31" s="16">
        <f t="shared" si="19"/>
        <v>-0.113052741748588</v>
      </c>
      <c r="AH31" s="39">
        <f t="shared" si="20"/>
        <v>1.278092241687293E-2</v>
      </c>
      <c r="AI31" s="31">
        <f t="shared" si="21"/>
        <v>-4.2102739007179646E-2</v>
      </c>
      <c r="AJ31" s="13">
        <f t="shared" si="22"/>
        <v>-0.11533341745347525</v>
      </c>
    </row>
    <row r="32" spans="1:36" x14ac:dyDescent="0.25">
      <c r="A32" s="29">
        <v>41456</v>
      </c>
      <c r="B32" s="12">
        <v>9.2444251940664302E-3</v>
      </c>
      <c r="C32" s="7">
        <v>7.1000000000001002E-3</v>
      </c>
      <c r="D32" s="7">
        <v>0.104408822151414</v>
      </c>
      <c r="E32" s="13">
        <v>1.6372716353751898E-2</v>
      </c>
      <c r="F32" s="31">
        <f t="shared" si="0"/>
        <v>1.0092444251940664</v>
      </c>
      <c r="G32" s="7">
        <f t="shared" si="0"/>
        <v>1.0071000000000001</v>
      </c>
      <c r="H32" s="7">
        <f t="shared" si="0"/>
        <v>1.1044088221514139</v>
      </c>
      <c r="I32" s="13">
        <f t="shared" si="0"/>
        <v>1.0163727163537519</v>
      </c>
      <c r="J32" s="31">
        <f t="shared" si="23"/>
        <v>1.0201109497621017</v>
      </c>
      <c r="K32" s="7">
        <f>MAX($J$2:J32)</f>
        <v>1.0663971943290311</v>
      </c>
      <c r="L32" s="13">
        <f t="shared" si="1"/>
        <v>-4.3404319528477731E-2</v>
      </c>
      <c r="M32" s="12">
        <f t="shared" si="24"/>
        <v>1.679743370114464</v>
      </c>
      <c r="N32" s="7">
        <f>MAX($M$2:M32)</f>
        <v>1.679743370114464</v>
      </c>
      <c r="O32" s="39">
        <f t="shared" si="2"/>
        <v>0</v>
      </c>
      <c r="P32" s="31">
        <f t="shared" si="3"/>
        <v>9.2444251940664302E-3</v>
      </c>
      <c r="Q32" s="13" t="str">
        <f t="shared" si="4"/>
        <v xml:space="preserve"> </v>
      </c>
      <c r="R32" s="31">
        <f t="shared" si="5"/>
        <v>0.104408822151414</v>
      </c>
      <c r="S32" s="39" t="str">
        <f t="shared" si="6"/>
        <v xml:space="preserve"> </v>
      </c>
      <c r="T32" s="31">
        <f t="shared" si="7"/>
        <v>2.14442519406633E-3</v>
      </c>
      <c r="U32" s="39">
        <f t="shared" si="8"/>
        <v>9.7308822151413898E-2</v>
      </c>
      <c r="V32" s="17">
        <f t="shared" si="9"/>
        <v>9.272716353751799E-3</v>
      </c>
      <c r="W32" s="31">
        <f t="shared" si="10"/>
        <v>0</v>
      </c>
      <c r="X32" s="39">
        <f t="shared" si="11"/>
        <v>0</v>
      </c>
      <c r="Y32" s="16">
        <f t="shared" si="12"/>
        <v>0</v>
      </c>
      <c r="Z32" s="39">
        <f t="shared" si="11"/>
        <v>0</v>
      </c>
      <c r="AA32" s="16">
        <f t="shared" si="13"/>
        <v>0</v>
      </c>
      <c r="AB32" s="13">
        <f t="shared" ref="AB32" si="53">AA32^2</f>
        <v>0</v>
      </c>
      <c r="AC32" s="33">
        <f t="shared" si="15"/>
        <v>0</v>
      </c>
      <c r="AD32" s="39">
        <f t="shared" si="16"/>
        <v>0</v>
      </c>
      <c r="AE32" s="16">
        <f t="shared" si="17"/>
        <v>0</v>
      </c>
      <c r="AF32" s="39">
        <f t="shared" si="18"/>
        <v>0</v>
      </c>
      <c r="AG32" s="16">
        <f t="shared" si="19"/>
        <v>0</v>
      </c>
      <c r="AH32" s="39">
        <f t="shared" si="20"/>
        <v>0</v>
      </c>
      <c r="AI32" s="31">
        <f t="shared" si="21"/>
        <v>-9.5164396957347464E-2</v>
      </c>
      <c r="AJ32" s="13">
        <f t="shared" si="22"/>
        <v>-8.8036105797661968E-2</v>
      </c>
    </row>
    <row r="33" spans="1:36" x14ac:dyDescent="0.25">
      <c r="A33" s="29">
        <v>41487</v>
      </c>
      <c r="B33" s="12">
        <v>4.5757095462810498E-3</v>
      </c>
      <c r="C33" s="7">
        <v>6.99999999999989E-3</v>
      </c>
      <c r="D33" s="7">
        <v>1.87982499952421E-2</v>
      </c>
      <c r="E33" s="13">
        <v>3.6779035535099598E-2</v>
      </c>
      <c r="F33" s="31">
        <f t="shared" si="0"/>
        <v>1.0045757095462811</v>
      </c>
      <c r="G33" s="7">
        <f t="shared" si="0"/>
        <v>1.0069999999999999</v>
      </c>
      <c r="H33" s="7">
        <f t="shared" si="0"/>
        <v>1.0187982499952422</v>
      </c>
      <c r="I33" s="13">
        <f t="shared" si="0"/>
        <v>1.0367790355350996</v>
      </c>
      <c r="J33" s="31">
        <f t="shared" si="23"/>
        <v>1.024778681173194</v>
      </c>
      <c r="K33" s="7">
        <f>MAX($J$2:J33)</f>
        <v>1.0663971943290311</v>
      </c>
      <c r="L33" s="13">
        <f t="shared" si="1"/>
        <v>-3.9027215541412912E-2</v>
      </c>
      <c r="M33" s="12">
        <f t="shared" si="24"/>
        <v>1.7113196059137261</v>
      </c>
      <c r="N33" s="7">
        <f>MAX($M$2:M33)</f>
        <v>1.7113196059137261</v>
      </c>
      <c r="O33" s="39">
        <f t="shared" si="2"/>
        <v>0</v>
      </c>
      <c r="P33" s="31">
        <f t="shared" si="3"/>
        <v>4.5757095462810498E-3</v>
      </c>
      <c r="Q33" s="13" t="str">
        <f t="shared" si="4"/>
        <v xml:space="preserve"> </v>
      </c>
      <c r="R33" s="31">
        <f t="shared" si="5"/>
        <v>1.87982499952421E-2</v>
      </c>
      <c r="S33" s="39" t="str">
        <f t="shared" si="6"/>
        <v xml:space="preserve"> </v>
      </c>
      <c r="T33" s="31">
        <f t="shared" si="7"/>
        <v>-2.4242904537188402E-3</v>
      </c>
      <c r="U33" s="39">
        <f t="shared" si="8"/>
        <v>1.179824999524221E-2</v>
      </c>
      <c r="V33" s="17">
        <f t="shared" si="9"/>
        <v>2.977903553509971E-2</v>
      </c>
      <c r="W33" s="31">
        <f t="shared" si="10"/>
        <v>-2.4242904537188402E-3</v>
      </c>
      <c r="X33" s="39">
        <f t="shared" si="11"/>
        <v>5.8771842039923006E-6</v>
      </c>
      <c r="Y33" s="16">
        <f t="shared" si="12"/>
        <v>0</v>
      </c>
      <c r="Z33" s="39">
        <f t="shared" si="11"/>
        <v>0</v>
      </c>
      <c r="AA33" s="16">
        <f t="shared" si="13"/>
        <v>0</v>
      </c>
      <c r="AB33" s="13">
        <f t="shared" ref="AB33" si="54">AA33^2</f>
        <v>0</v>
      </c>
      <c r="AC33" s="33">
        <f t="shared" si="15"/>
        <v>0</v>
      </c>
      <c r="AD33" s="39">
        <f t="shared" si="16"/>
        <v>0</v>
      </c>
      <c r="AE33" s="16">
        <f t="shared" si="17"/>
        <v>0</v>
      </c>
      <c r="AF33" s="39">
        <f t="shared" si="18"/>
        <v>0</v>
      </c>
      <c r="AG33" s="16">
        <f t="shared" si="19"/>
        <v>0</v>
      </c>
      <c r="AH33" s="39">
        <f t="shared" si="20"/>
        <v>0</v>
      </c>
      <c r="AI33" s="31">
        <f t="shared" si="21"/>
        <v>-1.4222540448961096E-2</v>
      </c>
      <c r="AJ33" s="13">
        <f t="shared" si="22"/>
        <v>1.7980785539857491E-2</v>
      </c>
    </row>
    <row r="34" spans="1:36" x14ac:dyDescent="0.25">
      <c r="A34" s="29">
        <v>41518</v>
      </c>
      <c r="B34" s="12">
        <v>2.9441748131993E-2</v>
      </c>
      <c r="C34" s="7">
        <v>6.99999999999989E-3</v>
      </c>
      <c r="D34" s="7">
        <v>-1.8484088986728899E-2</v>
      </c>
      <c r="E34" s="13">
        <v>4.6592545192769098E-2</v>
      </c>
      <c r="F34" s="31">
        <f t="shared" si="0"/>
        <v>1.0294417481319931</v>
      </c>
      <c r="G34" s="7">
        <f t="shared" si="0"/>
        <v>1.0069999999999999</v>
      </c>
      <c r="H34" s="7">
        <f t="shared" si="0"/>
        <v>0.98151591101327107</v>
      </c>
      <c r="I34" s="13">
        <f t="shared" si="0"/>
        <v>1.0465925451927691</v>
      </c>
      <c r="J34" s="31">
        <f t="shared" si="23"/>
        <v>1.0549499569953313</v>
      </c>
      <c r="K34" s="7">
        <f>MAX($J$2:J34)</f>
        <v>1.0663971943290311</v>
      </c>
      <c r="L34" s="13">
        <f t="shared" si="1"/>
        <v>-1.073449685968304E-2</v>
      </c>
      <c r="M34" s="12">
        <f t="shared" si="24"/>
        <v>1.6796874220332829</v>
      </c>
      <c r="N34" s="7">
        <f>MAX($M$2:M34)</f>
        <v>1.7113196059137261</v>
      </c>
      <c r="O34" s="39">
        <f t="shared" si="2"/>
        <v>-1.848408898672893E-2</v>
      </c>
      <c r="P34" s="31">
        <f t="shared" si="3"/>
        <v>2.9441748131993E-2</v>
      </c>
      <c r="Q34" s="13" t="str">
        <f t="shared" si="4"/>
        <v xml:space="preserve"> </v>
      </c>
      <c r="R34" s="31" t="str">
        <f t="shared" si="5"/>
        <v xml:space="preserve"> </v>
      </c>
      <c r="S34" s="39">
        <f t="shared" si="6"/>
        <v>-1.8484088986728899E-2</v>
      </c>
      <c r="T34" s="31">
        <f t="shared" si="7"/>
        <v>2.2441748131993108E-2</v>
      </c>
      <c r="U34" s="39">
        <f t="shared" si="8"/>
        <v>-2.5484088986728791E-2</v>
      </c>
      <c r="V34" s="17">
        <f t="shared" si="9"/>
        <v>3.959254519276921E-2</v>
      </c>
      <c r="W34" s="31">
        <f t="shared" si="10"/>
        <v>0</v>
      </c>
      <c r="X34" s="39">
        <f t="shared" si="11"/>
        <v>0</v>
      </c>
      <c r="Y34" s="16">
        <f t="shared" si="12"/>
        <v>-2.5484088986728791E-2</v>
      </c>
      <c r="Z34" s="39">
        <f t="shared" si="11"/>
        <v>6.4943879148351166E-4</v>
      </c>
      <c r="AA34" s="16">
        <f t="shared" si="13"/>
        <v>0</v>
      </c>
      <c r="AB34" s="13">
        <f t="shared" ref="AB34" si="55">AA34^2</f>
        <v>0</v>
      </c>
      <c r="AC34" s="33">
        <f t="shared" si="15"/>
        <v>0</v>
      </c>
      <c r="AD34" s="39">
        <f t="shared" si="16"/>
        <v>0</v>
      </c>
      <c r="AE34" s="16">
        <f t="shared" si="17"/>
        <v>-1.8484088986728899E-2</v>
      </c>
      <c r="AF34" s="39">
        <f t="shared" si="18"/>
        <v>3.4166154566931257E-4</v>
      </c>
      <c r="AG34" s="16">
        <f t="shared" si="19"/>
        <v>0</v>
      </c>
      <c r="AH34" s="39">
        <f t="shared" si="20"/>
        <v>0</v>
      </c>
      <c r="AI34" s="31">
        <f t="shared" si="21"/>
        <v>4.7925837118722003E-2</v>
      </c>
      <c r="AJ34" s="13">
        <f t="shared" si="22"/>
        <v>6.507663417949805E-2</v>
      </c>
    </row>
    <row r="35" spans="1:36" x14ac:dyDescent="0.25">
      <c r="A35" s="29">
        <v>41548</v>
      </c>
      <c r="B35" s="12">
        <v>2.13190341451166E-2</v>
      </c>
      <c r="C35" s="7">
        <v>8.0000000000000002E-3</v>
      </c>
      <c r="D35" s="7">
        <v>2.21159449833641E-2</v>
      </c>
      <c r="E35" s="13">
        <v>3.6646413695593898E-2</v>
      </c>
      <c r="F35" s="31">
        <f t="shared" si="0"/>
        <v>1.0213190341451166</v>
      </c>
      <c r="G35" s="7">
        <f t="shared" si="0"/>
        <v>1.008</v>
      </c>
      <c r="H35" s="7">
        <f t="shared" si="0"/>
        <v>1.0221159449833641</v>
      </c>
      <c r="I35" s="13">
        <f t="shared" si="0"/>
        <v>1.036646413695594</v>
      </c>
      <c r="J35" s="31">
        <f t="shared" si="23"/>
        <v>1.0774404711499042</v>
      </c>
      <c r="K35" s="7">
        <f>MAX($J$2:J35)</f>
        <v>1.0774404711499042</v>
      </c>
      <c r="L35" s="13">
        <f t="shared" si="1"/>
        <v>0</v>
      </c>
      <c r="M35" s="12">
        <f t="shared" si="24"/>
        <v>1.7168352966482197</v>
      </c>
      <c r="N35" s="7">
        <f>MAX($M$2:M35)</f>
        <v>1.7168352966482197</v>
      </c>
      <c r="O35" s="39">
        <f t="shared" si="2"/>
        <v>0</v>
      </c>
      <c r="P35" s="31">
        <f t="shared" si="3"/>
        <v>2.13190341451166E-2</v>
      </c>
      <c r="Q35" s="13" t="str">
        <f t="shared" si="4"/>
        <v xml:space="preserve"> </v>
      </c>
      <c r="R35" s="31">
        <f t="shared" si="5"/>
        <v>2.21159449833641E-2</v>
      </c>
      <c r="S35" s="39" t="str">
        <f t="shared" si="6"/>
        <v xml:space="preserve"> </v>
      </c>
      <c r="T35" s="31">
        <f t="shared" si="7"/>
        <v>1.33190341451166E-2</v>
      </c>
      <c r="U35" s="39">
        <f t="shared" si="8"/>
        <v>1.41159449833641E-2</v>
      </c>
      <c r="V35" s="17">
        <f t="shared" si="9"/>
        <v>2.8646413695593897E-2</v>
      </c>
      <c r="W35" s="31">
        <f t="shared" si="10"/>
        <v>0</v>
      </c>
      <c r="X35" s="39">
        <f t="shared" si="11"/>
        <v>0</v>
      </c>
      <c r="Y35" s="16">
        <f t="shared" si="12"/>
        <v>0</v>
      </c>
      <c r="Z35" s="39">
        <f t="shared" si="11"/>
        <v>0</v>
      </c>
      <c r="AA35" s="16">
        <f t="shared" si="13"/>
        <v>0</v>
      </c>
      <c r="AB35" s="13">
        <f t="shared" ref="AB35" si="56">AA35^2</f>
        <v>0</v>
      </c>
      <c r="AC35" s="33">
        <f t="shared" si="15"/>
        <v>0</v>
      </c>
      <c r="AD35" s="39">
        <f t="shared" si="16"/>
        <v>0</v>
      </c>
      <c r="AE35" s="16">
        <f t="shared" si="17"/>
        <v>0</v>
      </c>
      <c r="AF35" s="39">
        <f t="shared" si="18"/>
        <v>0</v>
      </c>
      <c r="AG35" s="16">
        <f t="shared" si="19"/>
        <v>0</v>
      </c>
      <c r="AH35" s="39">
        <f t="shared" si="20"/>
        <v>0</v>
      </c>
      <c r="AI35" s="31">
        <f t="shared" si="21"/>
        <v>-7.9691083824751097E-4</v>
      </c>
      <c r="AJ35" s="13">
        <f t="shared" si="22"/>
        <v>1.4530468712229849E-2</v>
      </c>
    </row>
    <row r="36" spans="1:36" x14ac:dyDescent="0.25">
      <c r="A36" s="29">
        <v>41579</v>
      </c>
      <c r="B36" s="12">
        <v>-5.4185273588614998E-3</v>
      </c>
      <c r="C36" s="7">
        <v>7.1000000000001002E-3</v>
      </c>
      <c r="D36" s="7">
        <v>8.5144244519964801E-2</v>
      </c>
      <c r="E36" s="13">
        <v>-3.2696844588616797E-2</v>
      </c>
      <c r="F36" s="31">
        <f t="shared" si="0"/>
        <v>0.9945814726411385</v>
      </c>
      <c r="G36" s="7">
        <f t="shared" si="0"/>
        <v>1.0071000000000001</v>
      </c>
      <c r="H36" s="7">
        <f t="shared" si="0"/>
        <v>1.0851442445199648</v>
      </c>
      <c r="I36" s="13">
        <f t="shared" si="0"/>
        <v>0.96730315541138323</v>
      </c>
      <c r="J36" s="31">
        <f t="shared" si="23"/>
        <v>1.0716023304794338</v>
      </c>
      <c r="K36" s="7">
        <f>MAX($J$2:J36)</f>
        <v>1.0774404711499042</v>
      </c>
      <c r="L36" s="13">
        <f t="shared" si="1"/>
        <v>-5.4185273588615119E-3</v>
      </c>
      <c r="M36" s="12">
        <f t="shared" si="24"/>
        <v>1.863013940946542</v>
      </c>
      <c r="N36" s="7">
        <f>MAX($M$2:M36)</f>
        <v>1.863013940946542</v>
      </c>
      <c r="O36" s="39">
        <f t="shared" si="2"/>
        <v>0</v>
      </c>
      <c r="P36" s="31" t="str">
        <f t="shared" si="3"/>
        <v xml:space="preserve"> </v>
      </c>
      <c r="Q36" s="13">
        <f t="shared" si="4"/>
        <v>-5.4185273588614998E-3</v>
      </c>
      <c r="R36" s="31">
        <f t="shared" si="5"/>
        <v>8.5144244519964801E-2</v>
      </c>
      <c r="S36" s="39" t="str">
        <f t="shared" si="6"/>
        <v xml:space="preserve"> </v>
      </c>
      <c r="T36" s="31">
        <f t="shared" si="7"/>
        <v>-1.25185273588616E-2</v>
      </c>
      <c r="U36" s="39">
        <f t="shared" si="8"/>
        <v>7.8044244519964695E-2</v>
      </c>
      <c r="V36" s="17">
        <f t="shared" si="9"/>
        <v>-3.9796844588616896E-2</v>
      </c>
      <c r="W36" s="31">
        <f t="shared" si="10"/>
        <v>-1.25185273588616E-2</v>
      </c>
      <c r="X36" s="39">
        <f t="shared" si="11"/>
        <v>1.5671352723456639E-4</v>
      </c>
      <c r="Y36" s="16">
        <f t="shared" si="12"/>
        <v>0</v>
      </c>
      <c r="Z36" s="39">
        <f t="shared" si="11"/>
        <v>0</v>
      </c>
      <c r="AA36" s="16">
        <f t="shared" si="13"/>
        <v>-3.9796844588616896E-2</v>
      </c>
      <c r="AB36" s="13">
        <f t="shared" ref="AB36" si="57">AA36^2</f>
        <v>1.583788839210526E-3</v>
      </c>
      <c r="AC36" s="33">
        <f t="shared" si="15"/>
        <v>-5.4185273588614998E-3</v>
      </c>
      <c r="AD36" s="39">
        <f t="shared" si="16"/>
        <v>2.9360438738730581E-5</v>
      </c>
      <c r="AE36" s="16">
        <f t="shared" si="17"/>
        <v>0</v>
      </c>
      <c r="AF36" s="39">
        <f t="shared" si="18"/>
        <v>0</v>
      </c>
      <c r="AG36" s="16">
        <f t="shared" si="19"/>
        <v>-3.2696844588616797E-2</v>
      </c>
      <c r="AH36" s="39">
        <f t="shared" si="20"/>
        <v>1.0690836460521594E-3</v>
      </c>
      <c r="AI36" s="31">
        <f t="shared" si="21"/>
        <v>-9.0562771878826331E-2</v>
      </c>
      <c r="AJ36" s="13">
        <f t="shared" si="22"/>
        <v>-0.1178410891085816</v>
      </c>
    </row>
    <row r="37" spans="1:36" x14ac:dyDescent="0.25">
      <c r="A37" s="29">
        <v>41609</v>
      </c>
      <c r="B37" s="12">
        <v>-1.0473983763504601E-2</v>
      </c>
      <c r="C37" s="7">
        <v>7.8000000000000196E-3</v>
      </c>
      <c r="D37" s="7">
        <v>2.7800378298885299E-2</v>
      </c>
      <c r="E37" s="13">
        <v>-1.85777981022065E-2</v>
      </c>
      <c r="F37" s="31">
        <f t="shared" si="0"/>
        <v>0.98952601623649539</v>
      </c>
      <c r="G37" s="7">
        <f t="shared" si="0"/>
        <v>1.0078</v>
      </c>
      <c r="H37" s="7">
        <f t="shared" si="0"/>
        <v>1.0278003782988854</v>
      </c>
      <c r="I37" s="13">
        <f t="shared" si="0"/>
        <v>0.9814222018977935</v>
      </c>
      <c r="J37" s="31">
        <f t="shared" si="23"/>
        <v>1.0603783850690585</v>
      </c>
      <c r="K37" s="7">
        <f>MAX($J$2:J37)</f>
        <v>1.0774404711499042</v>
      </c>
      <c r="L37" s="13">
        <f t="shared" si="1"/>
        <v>-1.5835757554787312E-2</v>
      </c>
      <c r="M37" s="12">
        <f t="shared" si="24"/>
        <v>1.9148064332809531</v>
      </c>
      <c r="N37" s="7">
        <f>MAX($M$2:M37)</f>
        <v>1.9148064332809531</v>
      </c>
      <c r="O37" s="39">
        <f t="shared" si="2"/>
        <v>0</v>
      </c>
      <c r="P37" s="31" t="str">
        <f t="shared" si="3"/>
        <v xml:space="preserve"> </v>
      </c>
      <c r="Q37" s="13">
        <f t="shared" si="4"/>
        <v>-1.0473983763504601E-2</v>
      </c>
      <c r="R37" s="31">
        <f t="shared" si="5"/>
        <v>2.7800378298885299E-2</v>
      </c>
      <c r="S37" s="39" t="str">
        <f t="shared" si="6"/>
        <v xml:space="preserve"> </v>
      </c>
      <c r="T37" s="31">
        <f t="shared" si="7"/>
        <v>-1.8273983763504621E-2</v>
      </c>
      <c r="U37" s="39">
        <f t="shared" si="8"/>
        <v>2.000037829888528E-2</v>
      </c>
      <c r="V37" s="17">
        <f t="shared" si="9"/>
        <v>-2.6377798102206518E-2</v>
      </c>
      <c r="W37" s="31">
        <f t="shared" si="10"/>
        <v>-1.8273983763504621E-2</v>
      </c>
      <c r="X37" s="39">
        <f t="shared" si="11"/>
        <v>3.3393848258883054E-4</v>
      </c>
      <c r="Y37" s="16">
        <f t="shared" si="12"/>
        <v>0</v>
      </c>
      <c r="Z37" s="39">
        <f t="shared" si="11"/>
        <v>0</v>
      </c>
      <c r="AA37" s="16">
        <f t="shared" si="13"/>
        <v>-2.6377798102206518E-2</v>
      </c>
      <c r="AB37" s="13">
        <f t="shared" ref="AB37" si="58">AA37^2</f>
        <v>6.9578823272076977E-4</v>
      </c>
      <c r="AC37" s="33">
        <f t="shared" si="15"/>
        <v>-1.0473983763504601E-2</v>
      </c>
      <c r="AD37" s="39">
        <f t="shared" si="16"/>
        <v>1.09704335878158E-4</v>
      </c>
      <c r="AE37" s="16">
        <f t="shared" si="17"/>
        <v>0</v>
      </c>
      <c r="AF37" s="39">
        <f t="shared" si="18"/>
        <v>0</v>
      </c>
      <c r="AG37" s="16">
        <f t="shared" si="19"/>
        <v>-1.85777981022065E-2</v>
      </c>
      <c r="AH37" s="39">
        <f t="shared" si="20"/>
        <v>3.4513458232634744E-4</v>
      </c>
      <c r="AI37" s="31">
        <f t="shared" si="21"/>
        <v>-3.8274362062389988E-2</v>
      </c>
      <c r="AJ37" s="13">
        <f t="shared" si="22"/>
        <v>-4.6378176401091875E-2</v>
      </c>
    </row>
    <row r="38" spans="1:36" x14ac:dyDescent="0.25">
      <c r="A38" s="29">
        <v>41640</v>
      </c>
      <c r="B38" s="12">
        <v>-3.2485194993333098E-2</v>
      </c>
      <c r="C38" s="7">
        <v>8.3999999999999596E-3</v>
      </c>
      <c r="D38" s="7">
        <v>-1.8070761308932901E-2</v>
      </c>
      <c r="E38" s="13">
        <v>-7.5096588813170995E-2</v>
      </c>
      <c r="F38" s="31">
        <f t="shared" si="0"/>
        <v>0.96751480500666687</v>
      </c>
      <c r="G38" s="7">
        <f t="shared" si="0"/>
        <v>1.0084</v>
      </c>
      <c r="H38" s="7">
        <f t="shared" si="0"/>
        <v>0.98192923869106707</v>
      </c>
      <c r="I38" s="13">
        <f t="shared" si="0"/>
        <v>0.92490341118682906</v>
      </c>
      <c r="J38" s="31">
        <f t="shared" si="23"/>
        <v>1.0259317864633744</v>
      </c>
      <c r="K38" s="7">
        <f>MAX($J$2:J38)</f>
        <v>1.0774404711499042</v>
      </c>
      <c r="L38" s="13">
        <f t="shared" si="1"/>
        <v>-4.7806524876086082E-2</v>
      </c>
      <c r="M38" s="12">
        <f t="shared" si="24"/>
        <v>1.8802044232723238</v>
      </c>
      <c r="N38" s="7">
        <f>MAX($M$2:M38)</f>
        <v>1.9148064332809531</v>
      </c>
      <c r="O38" s="39">
        <f t="shared" si="2"/>
        <v>-1.8070761308932915E-2</v>
      </c>
      <c r="P38" s="31" t="str">
        <f t="shared" si="3"/>
        <v xml:space="preserve"> </v>
      </c>
      <c r="Q38" s="13">
        <f t="shared" si="4"/>
        <v>-3.2485194993333098E-2</v>
      </c>
      <c r="R38" s="31" t="str">
        <f t="shared" si="5"/>
        <v xml:space="preserve"> </v>
      </c>
      <c r="S38" s="39">
        <f t="shared" si="6"/>
        <v>-1.8070761308932901E-2</v>
      </c>
      <c r="T38" s="31">
        <f t="shared" si="7"/>
        <v>-4.0885194993333054E-2</v>
      </c>
      <c r="U38" s="39">
        <f t="shared" si="8"/>
        <v>-2.6470761308932861E-2</v>
      </c>
      <c r="V38" s="17">
        <f t="shared" si="9"/>
        <v>-8.3496588813170958E-2</v>
      </c>
      <c r="W38" s="31">
        <f t="shared" si="10"/>
        <v>-4.0885194993333054E-2</v>
      </c>
      <c r="X38" s="39">
        <f t="shared" si="11"/>
        <v>1.6715991696428663E-3</v>
      </c>
      <c r="Y38" s="16">
        <f t="shared" si="12"/>
        <v>-2.6470761308932861E-2</v>
      </c>
      <c r="Z38" s="39">
        <f t="shared" si="11"/>
        <v>7.0070120427449692E-4</v>
      </c>
      <c r="AA38" s="16">
        <f t="shared" si="13"/>
        <v>-8.3496588813170958E-2</v>
      </c>
      <c r="AB38" s="13">
        <f t="shared" ref="AB38" si="59">AA38^2</f>
        <v>6.9716803434357452E-3</v>
      </c>
      <c r="AC38" s="33">
        <f t="shared" si="15"/>
        <v>-3.2485194993333098E-2</v>
      </c>
      <c r="AD38" s="39">
        <f t="shared" si="16"/>
        <v>1.0552878937548737E-3</v>
      </c>
      <c r="AE38" s="16">
        <f t="shared" si="17"/>
        <v>-1.8070761308932901E-2</v>
      </c>
      <c r="AF38" s="39">
        <f t="shared" si="18"/>
        <v>3.2655241428442634E-4</v>
      </c>
      <c r="AG38" s="16">
        <f t="shared" si="19"/>
        <v>-7.5096588813170995E-2</v>
      </c>
      <c r="AH38" s="39">
        <f t="shared" si="20"/>
        <v>5.6394976513744789E-3</v>
      </c>
      <c r="AI38" s="31">
        <f t="shared" si="21"/>
        <v>-1.4414433684400207E-2</v>
      </c>
      <c r="AJ38" s="13">
        <f t="shared" si="22"/>
        <v>-5.7025827504238014E-2</v>
      </c>
    </row>
    <row r="39" spans="1:36" x14ac:dyDescent="0.25">
      <c r="A39" s="29">
        <v>41671</v>
      </c>
      <c r="B39" s="12">
        <v>1.20402766945861E-2</v>
      </c>
      <c r="C39" s="7">
        <v>7.8000000000000196E-3</v>
      </c>
      <c r="D39" s="7">
        <v>1.29247151096827E-2</v>
      </c>
      <c r="E39" s="13">
        <v>-1.14402065534541E-2</v>
      </c>
      <c r="F39" s="31">
        <f t="shared" si="0"/>
        <v>1.0120402766945862</v>
      </c>
      <c r="G39" s="7">
        <f t="shared" si="0"/>
        <v>1.0078</v>
      </c>
      <c r="H39" s="7">
        <f t="shared" si="0"/>
        <v>1.0129247151096827</v>
      </c>
      <c r="I39" s="13">
        <f t="shared" si="0"/>
        <v>0.98855979344654588</v>
      </c>
      <c r="J39" s="31">
        <f t="shared" si="23"/>
        <v>1.0382842890421644</v>
      </c>
      <c r="K39" s="7">
        <f>MAX($J$2:J39)</f>
        <v>1.0774404711499042</v>
      </c>
      <c r="L39" s="13">
        <f t="shared" si="1"/>
        <v>-3.6341851968814669E-2</v>
      </c>
      <c r="M39" s="12">
        <f t="shared" si="24"/>
        <v>1.904505529791084</v>
      </c>
      <c r="N39" s="7">
        <f>MAX($M$2:M39)</f>
        <v>1.9148064332809531</v>
      </c>
      <c r="O39" s="39">
        <f t="shared" si="2"/>
        <v>-5.3796056409831901E-3</v>
      </c>
      <c r="P39" s="31">
        <f t="shared" si="3"/>
        <v>1.20402766945861E-2</v>
      </c>
      <c r="Q39" s="13" t="str">
        <f t="shared" si="4"/>
        <v xml:space="preserve"> </v>
      </c>
      <c r="R39" s="31">
        <f t="shared" si="5"/>
        <v>1.29247151096827E-2</v>
      </c>
      <c r="S39" s="39" t="str">
        <f t="shared" si="6"/>
        <v xml:space="preserve"> </v>
      </c>
      <c r="T39" s="31">
        <f t="shared" si="7"/>
        <v>4.2402766945860799E-3</v>
      </c>
      <c r="U39" s="39">
        <f t="shared" si="8"/>
        <v>5.1247151096826806E-3</v>
      </c>
      <c r="V39" s="17">
        <f t="shared" si="9"/>
        <v>-1.9240206553454119E-2</v>
      </c>
      <c r="W39" s="31">
        <f t="shared" si="10"/>
        <v>0</v>
      </c>
      <c r="X39" s="39">
        <f t="shared" si="11"/>
        <v>0</v>
      </c>
      <c r="Y39" s="16">
        <f t="shared" si="12"/>
        <v>0</v>
      </c>
      <c r="Z39" s="39">
        <f t="shared" si="11"/>
        <v>0</v>
      </c>
      <c r="AA39" s="16">
        <f t="shared" si="13"/>
        <v>-1.9240206553454119E-2</v>
      </c>
      <c r="AB39" s="13">
        <f t="shared" ref="AB39" si="60">AA39^2</f>
        <v>3.7018554821957882E-4</v>
      </c>
      <c r="AC39" s="33">
        <f t="shared" si="15"/>
        <v>0</v>
      </c>
      <c r="AD39" s="39">
        <f t="shared" si="16"/>
        <v>0</v>
      </c>
      <c r="AE39" s="16">
        <f t="shared" si="17"/>
        <v>0</v>
      </c>
      <c r="AF39" s="39">
        <f t="shared" si="18"/>
        <v>0</v>
      </c>
      <c r="AG39" s="16">
        <f t="shared" si="19"/>
        <v>-1.14402065534541E-2</v>
      </c>
      <c r="AH39" s="39">
        <f t="shared" si="20"/>
        <v>1.3087832598569413E-4</v>
      </c>
      <c r="AI39" s="31">
        <f t="shared" si="21"/>
        <v>-8.8443841509655563E-4</v>
      </c>
      <c r="AJ39" s="13">
        <f t="shared" si="22"/>
        <v>-2.4364921663136863E-2</v>
      </c>
    </row>
    <row r="40" spans="1:36" x14ac:dyDescent="0.25">
      <c r="A40" s="29">
        <v>41699</v>
      </c>
      <c r="B40" s="12">
        <v>2.6849158032526702E-2</v>
      </c>
      <c r="C40" s="7">
        <v>7.6000000000000503E-3</v>
      </c>
      <c r="D40" s="7">
        <v>-2.79381519294454E-2</v>
      </c>
      <c r="E40" s="13">
        <v>7.0518537393298594E-2</v>
      </c>
      <c r="F40" s="31">
        <f t="shared" si="0"/>
        <v>1.0268491580325267</v>
      </c>
      <c r="G40" s="7">
        <f t="shared" si="0"/>
        <v>1.0076000000000001</v>
      </c>
      <c r="H40" s="7">
        <f t="shared" si="0"/>
        <v>0.97206184807055462</v>
      </c>
      <c r="I40" s="13">
        <f t="shared" si="0"/>
        <v>1.0705185373932986</v>
      </c>
      <c r="J40" s="31">
        <f t="shared" si="23"/>
        <v>1.0661613480013472</v>
      </c>
      <c r="K40" s="7">
        <f>MAX($J$2:J40)</f>
        <v>1.0774404711499042</v>
      </c>
      <c r="L40" s="13">
        <f t="shared" si="1"/>
        <v>-1.0468442062993273E-2</v>
      </c>
      <c r="M40" s="12">
        <f t="shared" si="24"/>
        <v>1.8512971649493117</v>
      </c>
      <c r="N40" s="7">
        <f>MAX($M$2:M40)</f>
        <v>1.9148064332809531</v>
      </c>
      <c r="O40" s="39">
        <f t="shared" si="2"/>
        <v>-3.3167461330710336E-2</v>
      </c>
      <c r="P40" s="31">
        <f t="shared" si="3"/>
        <v>2.6849158032526702E-2</v>
      </c>
      <c r="Q40" s="13" t="str">
        <f t="shared" si="4"/>
        <v xml:space="preserve"> </v>
      </c>
      <c r="R40" s="31" t="str">
        <f t="shared" si="5"/>
        <v xml:space="preserve"> </v>
      </c>
      <c r="S40" s="39">
        <f t="shared" si="6"/>
        <v>-2.79381519294454E-2</v>
      </c>
      <c r="T40" s="31">
        <f t="shared" si="7"/>
        <v>1.924915803252665E-2</v>
      </c>
      <c r="U40" s="39">
        <f t="shared" si="8"/>
        <v>-3.5538151929445448E-2</v>
      </c>
      <c r="V40" s="17">
        <f t="shared" si="9"/>
        <v>6.2918537393298543E-2</v>
      </c>
      <c r="W40" s="31">
        <f t="shared" si="10"/>
        <v>0</v>
      </c>
      <c r="X40" s="39">
        <f t="shared" si="11"/>
        <v>0</v>
      </c>
      <c r="Y40" s="16">
        <f t="shared" si="12"/>
        <v>-3.5538151929445448E-2</v>
      </c>
      <c r="Z40" s="39">
        <f t="shared" si="11"/>
        <v>1.2629602425603473E-3</v>
      </c>
      <c r="AA40" s="16">
        <f t="shared" si="13"/>
        <v>0</v>
      </c>
      <c r="AB40" s="13">
        <f t="shared" ref="AB40" si="61">AA40^2</f>
        <v>0</v>
      </c>
      <c r="AC40" s="33">
        <f t="shared" si="15"/>
        <v>0</v>
      </c>
      <c r="AD40" s="39">
        <f t="shared" si="16"/>
        <v>0</v>
      </c>
      <c r="AE40" s="16">
        <f t="shared" si="17"/>
        <v>-2.79381519294454E-2</v>
      </c>
      <c r="AF40" s="39">
        <f t="shared" si="18"/>
        <v>7.8054033323277376E-4</v>
      </c>
      <c r="AG40" s="16">
        <f t="shared" si="19"/>
        <v>0</v>
      </c>
      <c r="AH40" s="39">
        <f t="shared" si="20"/>
        <v>0</v>
      </c>
      <c r="AI40" s="31">
        <f t="shared" si="21"/>
        <v>5.4787309961972119E-2</v>
      </c>
      <c r="AJ40" s="13">
        <f t="shared" si="22"/>
        <v>9.8456689322743984E-2</v>
      </c>
    </row>
    <row r="41" spans="1:36" x14ac:dyDescent="0.25">
      <c r="A41" s="29">
        <v>41730</v>
      </c>
      <c r="B41" s="12">
        <v>1.77189754089912E-2</v>
      </c>
      <c r="C41" s="7">
        <v>8.1999999999999799E-3</v>
      </c>
      <c r="D41" s="7">
        <v>2.8406336124691101E-3</v>
      </c>
      <c r="E41" s="13">
        <v>2.4020628781116601E-2</v>
      </c>
      <c r="F41" s="31">
        <f t="shared" si="0"/>
        <v>1.0177189754089913</v>
      </c>
      <c r="G41" s="7">
        <f t="shared" si="0"/>
        <v>1.0082</v>
      </c>
      <c r="H41" s="7">
        <f t="shared" si="0"/>
        <v>1.0028406336124691</v>
      </c>
      <c r="I41" s="13">
        <f t="shared" si="0"/>
        <v>1.0240206287811167</v>
      </c>
      <c r="J41" s="31">
        <f t="shared" si="23"/>
        <v>1.0850526347086</v>
      </c>
      <c r="K41" s="7">
        <f>MAX($J$2:J41)</f>
        <v>1.0850526347086</v>
      </c>
      <c r="L41" s="13">
        <f t="shared" si="1"/>
        <v>0</v>
      </c>
      <c r="M41" s="12">
        <f t="shared" si="24"/>
        <v>1.8565560219027355</v>
      </c>
      <c r="N41" s="7">
        <f>MAX($M$2:M41)</f>
        <v>1.9148064332809531</v>
      </c>
      <c r="O41" s="39">
        <f t="shared" si="2"/>
        <v>-3.0421044323737521E-2</v>
      </c>
      <c r="P41" s="31">
        <f t="shared" si="3"/>
        <v>1.77189754089912E-2</v>
      </c>
      <c r="Q41" s="13" t="str">
        <f t="shared" si="4"/>
        <v xml:space="preserve"> </v>
      </c>
      <c r="R41" s="31">
        <f t="shared" si="5"/>
        <v>2.8406336124691101E-3</v>
      </c>
      <c r="S41" s="39" t="str">
        <f t="shared" si="6"/>
        <v xml:space="preserve"> </v>
      </c>
      <c r="T41" s="31">
        <f t="shared" si="7"/>
        <v>9.5189754089912201E-3</v>
      </c>
      <c r="U41" s="39">
        <f t="shared" si="8"/>
        <v>-5.3593663875308693E-3</v>
      </c>
      <c r="V41" s="17">
        <f t="shared" si="9"/>
        <v>1.5820628781116619E-2</v>
      </c>
      <c r="W41" s="31">
        <f t="shared" si="10"/>
        <v>0</v>
      </c>
      <c r="X41" s="39">
        <f t="shared" si="11"/>
        <v>0</v>
      </c>
      <c r="Y41" s="16">
        <f t="shared" si="12"/>
        <v>-5.3593663875308693E-3</v>
      </c>
      <c r="Z41" s="39">
        <f t="shared" si="11"/>
        <v>2.872280807579568E-5</v>
      </c>
      <c r="AA41" s="16">
        <f t="shared" si="13"/>
        <v>0</v>
      </c>
      <c r="AB41" s="13">
        <f t="shared" ref="AB41" si="62">AA41^2</f>
        <v>0</v>
      </c>
      <c r="AC41" s="33">
        <f t="shared" si="15"/>
        <v>0</v>
      </c>
      <c r="AD41" s="39">
        <f t="shared" si="16"/>
        <v>0</v>
      </c>
      <c r="AE41" s="16">
        <f t="shared" si="17"/>
        <v>0</v>
      </c>
      <c r="AF41" s="39">
        <f t="shared" si="18"/>
        <v>0</v>
      </c>
      <c r="AG41" s="16">
        <f t="shared" si="19"/>
        <v>0</v>
      </c>
      <c r="AH41" s="39">
        <f t="shared" si="20"/>
        <v>0</v>
      </c>
      <c r="AI41" s="31">
        <f t="shared" si="21"/>
        <v>1.4878341796522143E-2</v>
      </c>
      <c r="AJ41" s="13">
        <f t="shared" si="22"/>
        <v>2.1179995168647547E-2</v>
      </c>
    </row>
    <row r="42" spans="1:36" x14ac:dyDescent="0.25">
      <c r="A42" s="29">
        <v>41760</v>
      </c>
      <c r="B42" s="12">
        <v>5.5576157510446303E-3</v>
      </c>
      <c r="C42" s="7">
        <v>8.5999999999999393E-3</v>
      </c>
      <c r="D42" s="7">
        <v>1.6075268472341701E-2</v>
      </c>
      <c r="E42" s="13">
        <v>-7.4962228334559599E-3</v>
      </c>
      <c r="F42" s="31">
        <f t="shared" si="0"/>
        <v>1.0055576157510446</v>
      </c>
      <c r="G42" s="7">
        <f t="shared" si="0"/>
        <v>1.0085999999999999</v>
      </c>
      <c r="H42" s="7">
        <f t="shared" si="0"/>
        <v>1.0160752684723418</v>
      </c>
      <c r="I42" s="13">
        <f t="shared" si="0"/>
        <v>0.99250377716654403</v>
      </c>
      <c r="J42" s="31">
        <f t="shared" si="23"/>
        <v>1.0910829403219691</v>
      </c>
      <c r="K42" s="7">
        <f>MAX($J$2:J42)</f>
        <v>1.0910829403219691</v>
      </c>
      <c r="L42" s="13">
        <f t="shared" si="1"/>
        <v>0</v>
      </c>
      <c r="M42" s="12">
        <f t="shared" si="24"/>
        <v>1.8864006583887647</v>
      </c>
      <c r="N42" s="7">
        <f>MAX($M$2:M42)</f>
        <v>1.9148064332809531</v>
      </c>
      <c r="O42" s="39">
        <f t="shared" si="2"/>
        <v>-1.4834802306108895E-2</v>
      </c>
      <c r="P42" s="31">
        <f t="shared" si="3"/>
        <v>5.5576157510446303E-3</v>
      </c>
      <c r="Q42" s="13" t="str">
        <f t="shared" si="4"/>
        <v xml:space="preserve"> </v>
      </c>
      <c r="R42" s="31">
        <f t="shared" si="5"/>
        <v>1.6075268472341701E-2</v>
      </c>
      <c r="S42" s="39" t="str">
        <f t="shared" si="6"/>
        <v xml:space="preserve"> </v>
      </c>
      <c r="T42" s="31">
        <f t="shared" si="7"/>
        <v>-3.042384248955309E-3</v>
      </c>
      <c r="U42" s="39">
        <f t="shared" si="8"/>
        <v>7.4752684723417614E-3</v>
      </c>
      <c r="V42" s="17">
        <f t="shared" si="9"/>
        <v>-1.6096222833455898E-2</v>
      </c>
      <c r="W42" s="31">
        <f t="shared" si="10"/>
        <v>-3.042384248955309E-3</v>
      </c>
      <c r="X42" s="39">
        <f t="shared" si="11"/>
        <v>9.2561019182913596E-6</v>
      </c>
      <c r="Y42" s="16">
        <f t="shared" si="12"/>
        <v>0</v>
      </c>
      <c r="Z42" s="39">
        <f t="shared" si="11"/>
        <v>0</v>
      </c>
      <c r="AA42" s="16">
        <f t="shared" si="13"/>
        <v>-1.6096222833455898E-2</v>
      </c>
      <c r="AB42" s="13">
        <f t="shared" ref="AB42" si="63">AA42^2</f>
        <v>2.5908838950426704E-4</v>
      </c>
      <c r="AC42" s="33">
        <f t="shared" si="15"/>
        <v>0</v>
      </c>
      <c r="AD42" s="39">
        <f t="shared" si="16"/>
        <v>0</v>
      </c>
      <c r="AE42" s="16">
        <f t="shared" si="17"/>
        <v>0</v>
      </c>
      <c r="AF42" s="39">
        <f t="shared" si="18"/>
        <v>0</v>
      </c>
      <c r="AG42" s="16">
        <f t="shared" si="19"/>
        <v>-7.4962228334559599E-3</v>
      </c>
      <c r="AH42" s="39">
        <f t="shared" si="20"/>
        <v>5.61933567688265E-5</v>
      </c>
      <c r="AI42" s="31">
        <f t="shared" si="21"/>
        <v>-1.0517652721297122E-2</v>
      </c>
      <c r="AJ42" s="13">
        <f t="shared" si="22"/>
        <v>-2.357149130579772E-2</v>
      </c>
    </row>
    <row r="43" spans="1:36" x14ac:dyDescent="0.25">
      <c r="A43" s="29">
        <v>41791</v>
      </c>
      <c r="B43" s="12">
        <v>1.83331156785622E-2</v>
      </c>
      <c r="C43" s="7">
        <v>8.1999999999999799E-3</v>
      </c>
      <c r="D43" s="8">
        <v>7.8043822759887799E-3</v>
      </c>
      <c r="E43" s="13">
        <v>3.7647104744432801E-2</v>
      </c>
      <c r="F43" s="31">
        <f t="shared" si="0"/>
        <v>1.0183331156785622</v>
      </c>
      <c r="G43" s="7">
        <f t="shared" si="0"/>
        <v>1.0082</v>
      </c>
      <c r="H43" s="7">
        <f t="shared" si="0"/>
        <v>1.0078043822759888</v>
      </c>
      <c r="I43" s="13">
        <f t="shared" si="0"/>
        <v>1.0376471047444329</v>
      </c>
      <c r="J43" s="31">
        <f t="shared" si="23"/>
        <v>1.1110858900817975</v>
      </c>
      <c r="K43" s="7">
        <f>MAX($J$2:J43)</f>
        <v>1.1110858900817975</v>
      </c>
      <c r="L43" s="13">
        <f t="shared" si="1"/>
        <v>0</v>
      </c>
      <c r="M43" s="12">
        <f t="shared" si="24"/>
        <v>1.9011228502525075</v>
      </c>
      <c r="N43" s="7">
        <f>MAX($M$2:M43)</f>
        <v>1.9148064332809531</v>
      </c>
      <c r="O43" s="39">
        <f t="shared" si="2"/>
        <v>-7.1461964983057314E-3</v>
      </c>
      <c r="P43" s="31">
        <f t="shared" si="3"/>
        <v>1.83331156785622E-2</v>
      </c>
      <c r="Q43" s="13" t="str">
        <f t="shared" si="4"/>
        <v xml:space="preserve"> </v>
      </c>
      <c r="R43" s="31">
        <f t="shared" si="5"/>
        <v>7.8043822759887799E-3</v>
      </c>
      <c r="S43" s="39" t="str">
        <f t="shared" si="6"/>
        <v xml:space="preserve"> </v>
      </c>
      <c r="T43" s="31">
        <f t="shared" si="7"/>
        <v>1.013311567856222E-2</v>
      </c>
      <c r="U43" s="39">
        <f t="shared" si="8"/>
        <v>-3.9561772401119997E-4</v>
      </c>
      <c r="V43" s="17">
        <f t="shared" si="9"/>
        <v>2.9447104744432823E-2</v>
      </c>
      <c r="W43" s="31">
        <f t="shared" si="10"/>
        <v>0</v>
      </c>
      <c r="X43" s="39">
        <f t="shared" si="11"/>
        <v>0</v>
      </c>
      <c r="Y43" s="16">
        <f t="shared" si="12"/>
        <v>-3.9561772401119997E-4</v>
      </c>
      <c r="Z43" s="39">
        <f t="shared" si="11"/>
        <v>1.5651338355180198E-7</v>
      </c>
      <c r="AA43" s="16">
        <f t="shared" si="13"/>
        <v>0</v>
      </c>
      <c r="AB43" s="13">
        <f t="shared" ref="AB43" si="64">AA43^2</f>
        <v>0</v>
      </c>
      <c r="AC43" s="33">
        <f t="shared" si="15"/>
        <v>0</v>
      </c>
      <c r="AD43" s="39">
        <f t="shared" si="16"/>
        <v>0</v>
      </c>
      <c r="AE43" s="16">
        <f t="shared" si="17"/>
        <v>0</v>
      </c>
      <c r="AF43" s="39">
        <f t="shared" si="18"/>
        <v>0</v>
      </c>
      <c r="AG43" s="16">
        <f t="shared" si="19"/>
        <v>0</v>
      </c>
      <c r="AH43" s="39">
        <f t="shared" si="20"/>
        <v>0</v>
      </c>
      <c r="AI43" s="31">
        <f t="shared" si="21"/>
        <v>1.0528733402573431E-2</v>
      </c>
      <c r="AJ43" s="13">
        <f t="shared" si="22"/>
        <v>2.9842722468444105E-2</v>
      </c>
    </row>
    <row r="44" spans="1:36" x14ac:dyDescent="0.25">
      <c r="A44" s="29">
        <v>41821</v>
      </c>
      <c r="B44" s="12">
        <v>3.17857019207268E-2</v>
      </c>
      <c r="C44" s="7">
        <v>9.4000000000000698E-3</v>
      </c>
      <c r="D44" s="7">
        <v>1.3239817919749699E-2</v>
      </c>
      <c r="E44" s="13">
        <v>5.0048901594944302E-2</v>
      </c>
      <c r="F44" s="31">
        <f t="shared" si="0"/>
        <v>1.0317857019207268</v>
      </c>
      <c r="G44" s="7">
        <f t="shared" si="0"/>
        <v>1.0094000000000001</v>
      </c>
      <c r="H44" s="7">
        <f t="shared" si="0"/>
        <v>1.0132398179197497</v>
      </c>
      <c r="I44" s="13">
        <f t="shared" si="0"/>
        <v>1.0500489015949444</v>
      </c>
      <c r="J44" s="31">
        <f t="shared" si="23"/>
        <v>1.1464025349922629</v>
      </c>
      <c r="K44" s="7">
        <f>MAX($J$2:J44)</f>
        <v>1.1464025349922629</v>
      </c>
      <c r="L44" s="13">
        <f t="shared" si="1"/>
        <v>0</v>
      </c>
      <c r="M44" s="12">
        <f t="shared" si="24"/>
        <v>1.9262933706329264</v>
      </c>
      <c r="N44" s="7">
        <f>MAX($M$2:M44)</f>
        <v>1.9262933706329264</v>
      </c>
      <c r="O44" s="39">
        <f t="shared" si="2"/>
        <v>0</v>
      </c>
      <c r="P44" s="31">
        <f t="shared" si="3"/>
        <v>3.17857019207268E-2</v>
      </c>
      <c r="Q44" s="13" t="str">
        <f t="shared" si="4"/>
        <v xml:space="preserve"> </v>
      </c>
      <c r="R44" s="31">
        <f t="shared" si="5"/>
        <v>1.3239817919749699E-2</v>
      </c>
      <c r="S44" s="39" t="str">
        <f t="shared" si="6"/>
        <v xml:space="preserve"> </v>
      </c>
      <c r="T44" s="31">
        <f t="shared" si="7"/>
        <v>2.2385701920726732E-2</v>
      </c>
      <c r="U44" s="39">
        <f t="shared" si="8"/>
        <v>3.8398179197496295E-3</v>
      </c>
      <c r="V44" s="17">
        <f t="shared" si="9"/>
        <v>4.0648901594944234E-2</v>
      </c>
      <c r="W44" s="31">
        <f t="shared" si="10"/>
        <v>0</v>
      </c>
      <c r="X44" s="39">
        <f t="shared" si="11"/>
        <v>0</v>
      </c>
      <c r="Y44" s="16">
        <f t="shared" si="12"/>
        <v>0</v>
      </c>
      <c r="Z44" s="39">
        <f t="shared" si="11"/>
        <v>0</v>
      </c>
      <c r="AA44" s="16">
        <f t="shared" si="13"/>
        <v>0</v>
      </c>
      <c r="AB44" s="13">
        <f t="shared" ref="AB44" si="65">AA44^2</f>
        <v>0</v>
      </c>
      <c r="AC44" s="33">
        <f t="shared" si="15"/>
        <v>0</v>
      </c>
      <c r="AD44" s="39">
        <f t="shared" si="16"/>
        <v>0</v>
      </c>
      <c r="AE44" s="16">
        <f t="shared" si="17"/>
        <v>0</v>
      </c>
      <c r="AF44" s="39">
        <f t="shared" si="18"/>
        <v>0</v>
      </c>
      <c r="AG44" s="16">
        <f t="shared" si="19"/>
        <v>0</v>
      </c>
      <c r="AH44" s="39">
        <f t="shared" si="20"/>
        <v>0</v>
      </c>
      <c r="AI44" s="31">
        <f t="shared" si="21"/>
        <v>1.854588400097712E-2</v>
      </c>
      <c r="AJ44" s="13">
        <f t="shared" si="22"/>
        <v>3.6809083675194643E-2</v>
      </c>
    </row>
    <row r="45" spans="1:36" x14ac:dyDescent="0.25">
      <c r="A45" s="29">
        <v>41852</v>
      </c>
      <c r="B45" s="12">
        <v>5.10430843331399E-2</v>
      </c>
      <c r="C45" s="7">
        <v>8.5999999999999393E-3</v>
      </c>
      <c r="D45" s="7">
        <v>2.09601732405253E-2</v>
      </c>
      <c r="E45" s="13">
        <v>9.7780723280015802E-2</v>
      </c>
      <c r="F45" s="31">
        <f t="shared" si="0"/>
        <v>1.05104308433314</v>
      </c>
      <c r="G45" s="7">
        <f t="shared" si="0"/>
        <v>1.0085999999999999</v>
      </c>
      <c r="H45" s="7">
        <f t="shared" si="0"/>
        <v>1.0209601732405253</v>
      </c>
      <c r="I45" s="13">
        <f t="shared" si="0"/>
        <v>1.0977807232800159</v>
      </c>
      <c r="J45" s="31">
        <f t="shared" si="23"/>
        <v>1.2049184562655983</v>
      </c>
      <c r="K45" s="7">
        <f>MAX($J$2:J45)</f>
        <v>1.2049184562655983</v>
      </c>
      <c r="L45" s="13">
        <f t="shared" si="1"/>
        <v>0</v>
      </c>
      <c r="M45" s="12">
        <f t="shared" si="24"/>
        <v>1.966668813393468</v>
      </c>
      <c r="N45" s="7">
        <f>MAX($M$2:M45)</f>
        <v>1.966668813393468</v>
      </c>
      <c r="O45" s="39">
        <f t="shared" si="2"/>
        <v>0</v>
      </c>
      <c r="P45" s="31">
        <f t="shared" si="3"/>
        <v>5.10430843331399E-2</v>
      </c>
      <c r="Q45" s="13" t="str">
        <f t="shared" si="4"/>
        <v xml:space="preserve"> </v>
      </c>
      <c r="R45" s="31">
        <f t="shared" si="5"/>
        <v>2.09601732405253E-2</v>
      </c>
      <c r="S45" s="39" t="str">
        <f t="shared" si="6"/>
        <v xml:space="preserve"> </v>
      </c>
      <c r="T45" s="31">
        <f t="shared" si="7"/>
        <v>4.2443084333139959E-2</v>
      </c>
      <c r="U45" s="39">
        <f t="shared" si="8"/>
        <v>1.236017324052536E-2</v>
      </c>
      <c r="V45" s="17">
        <f t="shared" si="9"/>
        <v>8.9180723280015861E-2</v>
      </c>
      <c r="W45" s="31">
        <f t="shared" si="10"/>
        <v>0</v>
      </c>
      <c r="X45" s="39">
        <f t="shared" si="11"/>
        <v>0</v>
      </c>
      <c r="Y45" s="16">
        <f t="shared" si="12"/>
        <v>0</v>
      </c>
      <c r="Z45" s="39">
        <f t="shared" si="11"/>
        <v>0</v>
      </c>
      <c r="AA45" s="16">
        <f t="shared" si="13"/>
        <v>0</v>
      </c>
      <c r="AB45" s="13">
        <f t="shared" ref="AB45" si="66">AA45^2</f>
        <v>0</v>
      </c>
      <c r="AC45" s="33">
        <f t="shared" si="15"/>
        <v>0</v>
      </c>
      <c r="AD45" s="39">
        <f t="shared" si="16"/>
        <v>0</v>
      </c>
      <c r="AE45" s="16">
        <f t="shared" si="17"/>
        <v>0</v>
      </c>
      <c r="AF45" s="39">
        <f t="shared" si="18"/>
        <v>0</v>
      </c>
      <c r="AG45" s="16">
        <f t="shared" si="19"/>
        <v>0</v>
      </c>
      <c r="AH45" s="39">
        <f t="shared" si="20"/>
        <v>0</v>
      </c>
      <c r="AI45" s="31">
        <f t="shared" si="21"/>
        <v>3.0082911092614628E-2</v>
      </c>
      <c r="AJ45" s="13">
        <f t="shared" si="22"/>
        <v>7.6820550039490509E-2</v>
      </c>
    </row>
    <row r="46" spans="1:36" x14ac:dyDescent="0.25">
      <c r="A46" s="29">
        <v>41883</v>
      </c>
      <c r="B46" s="12">
        <v>-5.5494215022073599E-2</v>
      </c>
      <c r="C46" s="7">
        <v>8.99999999999989E-3</v>
      </c>
      <c r="D46" s="7">
        <v>5.3431526418227397E-2</v>
      </c>
      <c r="E46" s="13">
        <v>-0.117021276595744</v>
      </c>
      <c r="F46" s="31">
        <f t="shared" si="0"/>
        <v>0.94450578497792637</v>
      </c>
      <c r="G46" s="7">
        <f t="shared" si="0"/>
        <v>1.0089999999999999</v>
      </c>
      <c r="H46" s="7">
        <f t="shared" si="0"/>
        <v>1.0534315264182275</v>
      </c>
      <c r="I46" s="13">
        <f t="shared" si="0"/>
        <v>0.88297872340425598</v>
      </c>
      <c r="J46" s="31">
        <f t="shared" si="23"/>
        <v>1.1380524523695301</v>
      </c>
      <c r="K46" s="7">
        <f>MAX($J$2:J46)</f>
        <v>1.2049184562655983</v>
      </c>
      <c r="L46" s="13">
        <f t="shared" si="1"/>
        <v>-5.5494215022073703E-2</v>
      </c>
      <c r="M46" s="12">
        <f t="shared" si="24"/>
        <v>2.0717509300522052</v>
      </c>
      <c r="N46" s="7">
        <f>MAX($M$2:M46)</f>
        <v>2.0717509300522052</v>
      </c>
      <c r="O46" s="39">
        <f t="shared" si="2"/>
        <v>0</v>
      </c>
      <c r="P46" s="31" t="str">
        <f t="shared" si="3"/>
        <v xml:space="preserve"> </v>
      </c>
      <c r="Q46" s="13">
        <f t="shared" si="4"/>
        <v>-5.5494215022073599E-2</v>
      </c>
      <c r="R46" s="31">
        <f t="shared" si="5"/>
        <v>5.3431526418227397E-2</v>
      </c>
      <c r="S46" s="39" t="str">
        <f t="shared" si="6"/>
        <v xml:space="preserve"> </v>
      </c>
      <c r="T46" s="31">
        <f t="shared" si="7"/>
        <v>-6.4494215022073489E-2</v>
      </c>
      <c r="U46" s="39">
        <f t="shared" si="8"/>
        <v>4.4431526418227507E-2</v>
      </c>
      <c r="V46" s="17">
        <f t="shared" si="9"/>
        <v>-0.12602127659574389</v>
      </c>
      <c r="W46" s="31">
        <f t="shared" si="10"/>
        <v>-6.4494215022073489E-2</v>
      </c>
      <c r="X46" s="39">
        <f t="shared" si="11"/>
        <v>4.1595037713134499E-3</v>
      </c>
      <c r="Y46" s="16">
        <f t="shared" si="12"/>
        <v>0</v>
      </c>
      <c r="Z46" s="39">
        <f t="shared" si="11"/>
        <v>0</v>
      </c>
      <c r="AA46" s="16">
        <f t="shared" si="13"/>
        <v>-0.12602127659574389</v>
      </c>
      <c r="AB46" s="13">
        <f t="shared" ref="AB46" si="67">AA46^2</f>
        <v>1.5881362154820985E-2</v>
      </c>
      <c r="AC46" s="33">
        <f t="shared" si="15"/>
        <v>-5.5494215022073599E-2</v>
      </c>
      <c r="AD46" s="39">
        <f t="shared" si="16"/>
        <v>3.0796079009161393E-3</v>
      </c>
      <c r="AE46" s="16">
        <f t="shared" si="17"/>
        <v>0</v>
      </c>
      <c r="AF46" s="39">
        <f t="shared" si="18"/>
        <v>0</v>
      </c>
      <c r="AG46" s="16">
        <f t="shared" si="19"/>
        <v>-0.117021276595744</v>
      </c>
      <c r="AH46" s="39">
        <f t="shared" si="20"/>
        <v>1.3693979176097623E-2</v>
      </c>
      <c r="AI46" s="31">
        <f t="shared" si="21"/>
        <v>-0.10892574144030109</v>
      </c>
      <c r="AJ46" s="13">
        <f t="shared" si="22"/>
        <v>-0.17045280301397148</v>
      </c>
    </row>
    <row r="47" spans="1:36" x14ac:dyDescent="0.25">
      <c r="A47" s="29">
        <v>41913</v>
      </c>
      <c r="B47" s="12">
        <v>2.2068341439764199E-2</v>
      </c>
      <c r="C47" s="7">
        <v>9.4000000000000698E-3</v>
      </c>
      <c r="D47" s="7">
        <v>-3.1637400457139499E-3</v>
      </c>
      <c r="E47" s="13">
        <v>9.4796363367579597E-3</v>
      </c>
      <c r="F47" s="31">
        <f t="shared" si="0"/>
        <v>1.0220683414397642</v>
      </c>
      <c r="G47" s="7">
        <f t="shared" si="0"/>
        <v>1.0094000000000001</v>
      </c>
      <c r="H47" s="7">
        <f t="shared" si="0"/>
        <v>0.99683625995428604</v>
      </c>
      <c r="I47" s="13">
        <f t="shared" si="0"/>
        <v>1.009479636336758</v>
      </c>
      <c r="J47" s="31">
        <f t="shared" si="23"/>
        <v>1.1631673824647819</v>
      </c>
      <c r="K47" s="7">
        <f>MAX($J$2:J47)</f>
        <v>1.2049184562655983</v>
      </c>
      <c r="L47" s="13">
        <f t="shared" si="1"/>
        <v>-3.4650538867348313E-2</v>
      </c>
      <c r="M47" s="12">
        <f t="shared" si="24"/>
        <v>2.0651964486700538</v>
      </c>
      <c r="N47" s="7">
        <f>MAX($M$2:M47)</f>
        <v>2.0717509300522052</v>
      </c>
      <c r="O47" s="39">
        <f t="shared" si="2"/>
        <v>-3.1637400457140176E-3</v>
      </c>
      <c r="P47" s="31">
        <f t="shared" si="3"/>
        <v>2.2068341439764199E-2</v>
      </c>
      <c r="Q47" s="13" t="str">
        <f t="shared" si="4"/>
        <v xml:space="preserve"> </v>
      </c>
      <c r="R47" s="31" t="str">
        <f t="shared" si="5"/>
        <v xml:space="preserve"> </v>
      </c>
      <c r="S47" s="39">
        <f t="shared" si="6"/>
        <v>-3.1637400457139499E-3</v>
      </c>
      <c r="T47" s="31">
        <f t="shared" si="7"/>
        <v>1.2668341439764129E-2</v>
      </c>
      <c r="U47" s="39">
        <f t="shared" si="8"/>
        <v>-1.256374004571402E-2</v>
      </c>
      <c r="V47" s="17">
        <f t="shared" si="9"/>
        <v>7.963633675788992E-5</v>
      </c>
      <c r="W47" s="31">
        <f t="shared" si="10"/>
        <v>0</v>
      </c>
      <c r="X47" s="39">
        <f t="shared" si="11"/>
        <v>0</v>
      </c>
      <c r="Y47" s="16">
        <f t="shared" si="12"/>
        <v>-1.256374004571402E-2</v>
      </c>
      <c r="Z47" s="39">
        <f t="shared" si="11"/>
        <v>1.5784756393627812E-4</v>
      </c>
      <c r="AA47" s="16">
        <f t="shared" si="13"/>
        <v>0</v>
      </c>
      <c r="AB47" s="13">
        <f t="shared" ref="AB47" si="68">AA47^2</f>
        <v>0</v>
      </c>
      <c r="AC47" s="33">
        <f t="shared" si="15"/>
        <v>0</v>
      </c>
      <c r="AD47" s="39">
        <f t="shared" si="16"/>
        <v>0</v>
      </c>
      <c r="AE47" s="16">
        <f t="shared" si="17"/>
        <v>-3.1637400457139499E-3</v>
      </c>
      <c r="AF47" s="39">
        <f t="shared" si="18"/>
        <v>1.0009251076854107E-5</v>
      </c>
      <c r="AG47" s="16">
        <f t="shared" si="19"/>
        <v>0</v>
      </c>
      <c r="AH47" s="39">
        <f t="shared" si="20"/>
        <v>0</v>
      </c>
      <c r="AI47" s="31">
        <f t="shared" si="21"/>
        <v>2.5232081485478175E-2</v>
      </c>
      <c r="AJ47" s="13">
        <f t="shared" si="22"/>
        <v>1.2643376382471927E-2</v>
      </c>
    </row>
    <row r="48" spans="1:36" x14ac:dyDescent="0.25">
      <c r="A48" s="29">
        <v>41944</v>
      </c>
      <c r="B48" s="12">
        <v>2.2109130520188501E-2</v>
      </c>
      <c r="C48" s="7">
        <v>8.3999999999999596E-3</v>
      </c>
      <c r="D48" s="7">
        <v>6.5592682958539997E-2</v>
      </c>
      <c r="E48" s="13">
        <v>6.4068535027184104E-4</v>
      </c>
      <c r="F48" s="31">
        <f t="shared" si="0"/>
        <v>1.0221091305201886</v>
      </c>
      <c r="G48" s="7">
        <f t="shared" si="0"/>
        <v>1.0084</v>
      </c>
      <c r="H48" s="7">
        <f t="shared" si="0"/>
        <v>1.06559268295854</v>
      </c>
      <c r="I48" s="13">
        <f t="shared" si="0"/>
        <v>1.0006406853502718</v>
      </c>
      <c r="J48" s="31">
        <f t="shared" si="23"/>
        <v>1.1888840019405218</v>
      </c>
      <c r="K48" s="7">
        <f>MAX($J$2:J48)</f>
        <v>1.2049184562655983</v>
      </c>
      <c r="L48" s="13">
        <f t="shared" si="1"/>
        <v>-1.3307501633572872E-2</v>
      </c>
      <c r="M48" s="12">
        <f t="shared" si="24"/>
        <v>2.2006582245747714</v>
      </c>
      <c r="N48" s="7">
        <f>MAX($M$2:M48)</f>
        <v>2.2006582245747714</v>
      </c>
      <c r="O48" s="39">
        <f t="shared" si="2"/>
        <v>0</v>
      </c>
      <c r="P48" s="31">
        <f t="shared" si="3"/>
        <v>2.2109130520188501E-2</v>
      </c>
      <c r="Q48" s="13" t="str">
        <f t="shared" si="4"/>
        <v xml:space="preserve"> </v>
      </c>
      <c r="R48" s="31">
        <f t="shared" si="5"/>
        <v>6.5592682958539997E-2</v>
      </c>
      <c r="S48" s="39" t="str">
        <f t="shared" si="6"/>
        <v xml:space="preserve"> </v>
      </c>
      <c r="T48" s="31">
        <f t="shared" si="7"/>
        <v>1.3709130520188541E-2</v>
      </c>
      <c r="U48" s="39">
        <f t="shared" si="8"/>
        <v>5.7192682958540034E-2</v>
      </c>
      <c r="V48" s="17">
        <f t="shared" si="9"/>
        <v>-7.7593146497281183E-3</v>
      </c>
      <c r="W48" s="31">
        <f t="shared" si="10"/>
        <v>0</v>
      </c>
      <c r="X48" s="39">
        <f t="shared" si="11"/>
        <v>0</v>
      </c>
      <c r="Y48" s="16">
        <f t="shared" si="12"/>
        <v>0</v>
      </c>
      <c r="Z48" s="39">
        <f t="shared" si="11"/>
        <v>0</v>
      </c>
      <c r="AA48" s="16">
        <f t="shared" si="13"/>
        <v>-7.7593146497281183E-3</v>
      </c>
      <c r="AB48" s="13">
        <f t="shared" ref="AB48" si="69">AA48^2</f>
        <v>6.0206963833485394E-5</v>
      </c>
      <c r="AC48" s="33">
        <f t="shared" si="15"/>
        <v>0</v>
      </c>
      <c r="AD48" s="39">
        <f t="shared" si="16"/>
        <v>0</v>
      </c>
      <c r="AE48" s="16">
        <f t="shared" si="17"/>
        <v>0</v>
      </c>
      <c r="AF48" s="39">
        <f t="shared" si="18"/>
        <v>0</v>
      </c>
      <c r="AG48" s="16">
        <f t="shared" si="19"/>
        <v>0</v>
      </c>
      <c r="AH48" s="39">
        <f t="shared" si="20"/>
        <v>0</v>
      </c>
      <c r="AI48" s="31">
        <f t="shared" si="21"/>
        <v>-4.3483552438351447E-2</v>
      </c>
      <c r="AJ48" s="13">
        <f t="shared" si="22"/>
        <v>-6.4951997608268197E-2</v>
      </c>
    </row>
    <row r="49" spans="1:36" x14ac:dyDescent="0.25">
      <c r="A49" s="29">
        <v>41974</v>
      </c>
      <c r="B49" s="12">
        <v>-4.1187791422391297E-2</v>
      </c>
      <c r="C49" s="7">
        <v>9.6000000000000495E-3</v>
      </c>
      <c r="D49" s="7">
        <v>2.29882681419908E-2</v>
      </c>
      <c r="E49" s="13">
        <v>-8.51931801551295E-2</v>
      </c>
      <c r="F49" s="31">
        <f t="shared" si="0"/>
        <v>0.95881220857760874</v>
      </c>
      <c r="G49" s="7">
        <f t="shared" si="0"/>
        <v>1.0096000000000001</v>
      </c>
      <c r="H49" s="7">
        <f t="shared" si="0"/>
        <v>1.0229882681419908</v>
      </c>
      <c r="I49" s="13">
        <f t="shared" si="0"/>
        <v>0.91480681984487044</v>
      </c>
      <c r="J49" s="31">
        <f t="shared" si="23"/>
        <v>1.1399164956431778</v>
      </c>
      <c r="K49" s="7">
        <f>MAX($J$2:J49)</f>
        <v>1.2049184562655983</v>
      </c>
      <c r="L49" s="13">
        <f t="shared" si="1"/>
        <v>-5.394718645432741E-2</v>
      </c>
      <c r="M49" s="12">
        <f t="shared" si="24"/>
        <v>2.2512475459301737</v>
      </c>
      <c r="N49" s="7">
        <f>MAX($M$2:M49)</f>
        <v>2.2512475459301737</v>
      </c>
      <c r="O49" s="39">
        <f t="shared" si="2"/>
        <v>0</v>
      </c>
      <c r="P49" s="31" t="str">
        <f t="shared" si="3"/>
        <v xml:space="preserve"> </v>
      </c>
      <c r="Q49" s="13">
        <f t="shared" si="4"/>
        <v>-4.1187791422391297E-2</v>
      </c>
      <c r="R49" s="31">
        <f t="shared" si="5"/>
        <v>2.29882681419908E-2</v>
      </c>
      <c r="S49" s="39" t="str">
        <f t="shared" si="6"/>
        <v xml:space="preserve"> </v>
      </c>
      <c r="T49" s="31">
        <f t="shared" si="7"/>
        <v>-5.0787791422391343E-2</v>
      </c>
      <c r="U49" s="39">
        <f t="shared" si="8"/>
        <v>1.3388268141990751E-2</v>
      </c>
      <c r="V49" s="17">
        <f t="shared" si="9"/>
        <v>-9.4793180155129553E-2</v>
      </c>
      <c r="W49" s="31">
        <f t="shared" si="10"/>
        <v>-5.0787791422391343E-2</v>
      </c>
      <c r="X49" s="39">
        <f t="shared" si="11"/>
        <v>2.5793997575643277E-3</v>
      </c>
      <c r="Y49" s="16">
        <f t="shared" si="12"/>
        <v>0</v>
      </c>
      <c r="Z49" s="39">
        <f t="shared" si="11"/>
        <v>0</v>
      </c>
      <c r="AA49" s="16">
        <f t="shared" si="13"/>
        <v>-9.4793180155129553E-2</v>
      </c>
      <c r="AB49" s="13">
        <f t="shared" ref="AB49" si="70">AA49^2</f>
        <v>8.9857470039228469E-3</v>
      </c>
      <c r="AC49" s="33">
        <f t="shared" si="15"/>
        <v>-4.1187791422391297E-2</v>
      </c>
      <c r="AD49" s="39">
        <f t="shared" si="16"/>
        <v>1.6964341622544101E-3</v>
      </c>
      <c r="AE49" s="16">
        <f t="shared" si="17"/>
        <v>0</v>
      </c>
      <c r="AF49" s="39">
        <f t="shared" si="18"/>
        <v>0</v>
      </c>
      <c r="AG49" s="16">
        <f t="shared" si="19"/>
        <v>-8.51931801551295E-2</v>
      </c>
      <c r="AH49" s="39">
        <f t="shared" si="20"/>
        <v>7.2578779449443504E-3</v>
      </c>
      <c r="AI49" s="31">
        <f t="shared" si="21"/>
        <v>-6.4176059564382104E-2</v>
      </c>
      <c r="AJ49" s="13">
        <f t="shared" si="22"/>
        <v>-0.1081814482971204</v>
      </c>
    </row>
    <row r="50" spans="1:36" x14ac:dyDescent="0.25">
      <c r="A50" s="29">
        <v>42005</v>
      </c>
      <c r="B50" s="12">
        <v>-9.4550639303174703E-3</v>
      </c>
      <c r="C50" s="7">
        <v>9.3000000000000808E-3</v>
      </c>
      <c r="D50" s="7">
        <v>-9.2349792159729296E-4</v>
      </c>
      <c r="E50" s="13">
        <v>-6.1971324014637799E-2</v>
      </c>
      <c r="F50" s="31">
        <f t="shared" si="0"/>
        <v>0.99054493606968252</v>
      </c>
      <c r="G50" s="7">
        <f t="shared" si="0"/>
        <v>1.0093000000000001</v>
      </c>
      <c r="H50" s="7">
        <f t="shared" si="0"/>
        <v>0.99907650207840271</v>
      </c>
      <c r="I50" s="13">
        <f t="shared" si="0"/>
        <v>0.93802867598536221</v>
      </c>
      <c r="J50" s="31">
        <f t="shared" si="23"/>
        <v>1.129138512301648</v>
      </c>
      <c r="K50" s="7">
        <f>MAX($J$2:J50)</f>
        <v>1.2049184562655983</v>
      </c>
      <c r="L50" s="13">
        <f t="shared" si="1"/>
        <v>-6.2892176287858537E-2</v>
      </c>
      <c r="M50" s="12">
        <f t="shared" si="24"/>
        <v>2.2491685235005061</v>
      </c>
      <c r="N50" s="7">
        <f>MAX($M$2:M50)</f>
        <v>2.2512475459301737</v>
      </c>
      <c r="O50" s="39">
        <f t="shared" si="2"/>
        <v>-9.2349792159733698E-4</v>
      </c>
      <c r="P50" s="31" t="str">
        <f t="shared" si="3"/>
        <v xml:space="preserve"> </v>
      </c>
      <c r="Q50" s="13">
        <f t="shared" si="4"/>
        <v>-9.4550639303174703E-3</v>
      </c>
      <c r="R50" s="31" t="str">
        <f t="shared" si="5"/>
        <v xml:space="preserve"> </v>
      </c>
      <c r="S50" s="39">
        <f t="shared" si="6"/>
        <v>-9.2349792159729296E-4</v>
      </c>
      <c r="T50" s="31">
        <f t="shared" si="7"/>
        <v>-1.8755063930317551E-2</v>
      </c>
      <c r="U50" s="39">
        <f t="shared" si="8"/>
        <v>-1.0223497921597373E-2</v>
      </c>
      <c r="V50" s="17">
        <f t="shared" si="9"/>
        <v>-7.1271324014637885E-2</v>
      </c>
      <c r="W50" s="31">
        <f t="shared" si="10"/>
        <v>-1.8755063930317551E-2</v>
      </c>
      <c r="X50" s="39">
        <f t="shared" si="11"/>
        <v>3.5175242303029844E-4</v>
      </c>
      <c r="Y50" s="16">
        <f t="shared" si="12"/>
        <v>-1.0223497921597373E-2</v>
      </c>
      <c r="Z50" s="39">
        <f t="shared" si="11"/>
        <v>1.045199097529058E-4</v>
      </c>
      <c r="AA50" s="16">
        <f t="shared" si="13"/>
        <v>-7.1271324014637885E-2</v>
      </c>
      <c r="AB50" s="13">
        <f t="shared" ref="AB50" si="71">AA50^2</f>
        <v>5.079601626799499E-3</v>
      </c>
      <c r="AC50" s="33">
        <f t="shared" si="15"/>
        <v>-9.4550639303174703E-3</v>
      </c>
      <c r="AD50" s="39">
        <f t="shared" si="16"/>
        <v>8.9398233926390452E-5</v>
      </c>
      <c r="AE50" s="16">
        <f t="shared" si="17"/>
        <v>-9.2349792159729296E-4</v>
      </c>
      <c r="AF50" s="39">
        <f t="shared" si="18"/>
        <v>8.5284841119451982E-7</v>
      </c>
      <c r="AG50" s="16">
        <f t="shared" si="19"/>
        <v>-6.1971324014637799E-2</v>
      </c>
      <c r="AH50" s="39">
        <f t="shared" si="20"/>
        <v>3.8404450001272234E-3</v>
      </c>
      <c r="AI50" s="31">
        <f t="shared" si="21"/>
        <v>-8.5315660087201817E-3</v>
      </c>
      <c r="AJ50" s="13">
        <f t="shared" si="22"/>
        <v>-6.1047826093040491E-2</v>
      </c>
    </row>
    <row r="51" spans="1:36" x14ac:dyDescent="0.25">
      <c r="A51" s="29">
        <v>42036</v>
      </c>
      <c r="B51" s="12">
        <v>3.1889712761400103E-2</v>
      </c>
      <c r="C51" s="7">
        <v>8.1999999999999799E-3</v>
      </c>
      <c r="D51" s="7">
        <v>0.14898707504124101</v>
      </c>
      <c r="E51" s="13">
        <v>9.9663170461328596E-2</v>
      </c>
      <c r="F51" s="31">
        <f t="shared" si="0"/>
        <v>1.0318897127614002</v>
      </c>
      <c r="G51" s="7">
        <f t="shared" si="0"/>
        <v>1.0082</v>
      </c>
      <c r="H51" s="7">
        <f t="shared" si="0"/>
        <v>1.148987075041241</v>
      </c>
      <c r="I51" s="13">
        <f t="shared" si="0"/>
        <v>1.0996631704613287</v>
      </c>
      <c r="J51" s="31">
        <f t="shared" si="23"/>
        <v>1.1651464151267823</v>
      </c>
      <c r="K51" s="7">
        <f>MAX($J$2:J51)</f>
        <v>1.2049184562655983</v>
      </c>
      <c r="L51" s="13">
        <f t="shared" si="1"/>
        <v>-3.3008076963217468E-2</v>
      </c>
      <c r="M51" s="12">
        <f t="shared" si="24"/>
        <v>2.5842655630916731</v>
      </c>
      <c r="N51" s="7">
        <f>MAX($M$2:M51)</f>
        <v>2.5842655630916731</v>
      </c>
      <c r="O51" s="39">
        <f t="shared" si="2"/>
        <v>0</v>
      </c>
      <c r="P51" s="31">
        <f t="shared" si="3"/>
        <v>3.1889712761400103E-2</v>
      </c>
      <c r="Q51" s="13" t="str">
        <f t="shared" si="4"/>
        <v xml:space="preserve"> </v>
      </c>
      <c r="R51" s="31">
        <f t="shared" si="5"/>
        <v>0.14898707504124101</v>
      </c>
      <c r="S51" s="39" t="str">
        <f t="shared" si="6"/>
        <v xml:space="preserve"> </v>
      </c>
      <c r="T51" s="31">
        <f t="shared" si="7"/>
        <v>2.3689712761400125E-2</v>
      </c>
      <c r="U51" s="39">
        <f t="shared" si="8"/>
        <v>0.14078707504124102</v>
      </c>
      <c r="V51" s="17">
        <f t="shared" si="9"/>
        <v>9.1463170461328611E-2</v>
      </c>
      <c r="W51" s="31">
        <f t="shared" si="10"/>
        <v>0</v>
      </c>
      <c r="X51" s="39">
        <f t="shared" si="11"/>
        <v>0</v>
      </c>
      <c r="Y51" s="16">
        <f t="shared" si="12"/>
        <v>0</v>
      </c>
      <c r="Z51" s="39">
        <f t="shared" si="11"/>
        <v>0</v>
      </c>
      <c r="AA51" s="16">
        <f t="shared" si="13"/>
        <v>0</v>
      </c>
      <c r="AB51" s="13">
        <f t="shared" ref="AB51" si="72">AA51^2</f>
        <v>0</v>
      </c>
      <c r="AC51" s="33">
        <f t="shared" si="15"/>
        <v>0</v>
      </c>
      <c r="AD51" s="39">
        <f t="shared" si="16"/>
        <v>0</v>
      </c>
      <c r="AE51" s="16">
        <f t="shared" si="17"/>
        <v>0</v>
      </c>
      <c r="AF51" s="39">
        <f t="shared" si="18"/>
        <v>0</v>
      </c>
      <c r="AG51" s="16">
        <f t="shared" si="19"/>
        <v>0</v>
      </c>
      <c r="AH51" s="39">
        <f t="shared" si="20"/>
        <v>0</v>
      </c>
      <c r="AI51" s="31">
        <f t="shared" si="21"/>
        <v>-0.1170973622798408</v>
      </c>
      <c r="AJ51" s="13">
        <f t="shared" si="22"/>
        <v>-4.9323904579912314E-2</v>
      </c>
    </row>
    <row r="52" spans="1:36" x14ac:dyDescent="0.25">
      <c r="A52" s="29">
        <v>42064</v>
      </c>
      <c r="B52" s="12">
        <v>-1.22064585095338E-4</v>
      </c>
      <c r="C52" s="7">
        <v>1.0399999999999901E-2</v>
      </c>
      <c r="D52" s="7">
        <v>9.1535841017693104E-2</v>
      </c>
      <c r="E52" s="13">
        <v>-8.3942384118799104E-3</v>
      </c>
      <c r="F52" s="31">
        <f t="shared" si="0"/>
        <v>0.99987793541490466</v>
      </c>
      <c r="G52" s="7">
        <f t="shared" si="0"/>
        <v>1.0104</v>
      </c>
      <c r="H52" s="7">
        <f t="shared" si="0"/>
        <v>1.0915358410176932</v>
      </c>
      <c r="I52" s="13">
        <f t="shared" si="0"/>
        <v>0.99160576158812008</v>
      </c>
      <c r="J52" s="31">
        <f t="shared" si="23"/>
        <v>1.1650041920130445</v>
      </c>
      <c r="K52" s="7">
        <f>MAX($J$2:J52)</f>
        <v>1.2049184562655983</v>
      </c>
      <c r="L52" s="13">
        <f t="shared" si="1"/>
        <v>-3.3126112431093514E-2</v>
      </c>
      <c r="M52" s="12">
        <f t="shared" si="24"/>
        <v>2.8208184848223317</v>
      </c>
      <c r="N52" s="7">
        <f>MAX($M$2:M52)</f>
        <v>2.8208184848223317</v>
      </c>
      <c r="O52" s="39">
        <f t="shared" si="2"/>
        <v>0</v>
      </c>
      <c r="P52" s="31" t="str">
        <f t="shared" si="3"/>
        <v xml:space="preserve"> </v>
      </c>
      <c r="Q52" s="13">
        <f t="shared" si="4"/>
        <v>-1.22064585095338E-4</v>
      </c>
      <c r="R52" s="31">
        <f t="shared" si="5"/>
        <v>9.1535841017693104E-2</v>
      </c>
      <c r="S52" s="39" t="str">
        <f t="shared" si="6"/>
        <v xml:space="preserve"> </v>
      </c>
      <c r="T52" s="31">
        <f t="shared" si="7"/>
        <v>-1.0522064585095239E-2</v>
      </c>
      <c r="U52" s="39">
        <f t="shared" si="8"/>
        <v>8.1135841017693208E-2</v>
      </c>
      <c r="V52" s="17">
        <f t="shared" si="9"/>
        <v>-1.8794238411879813E-2</v>
      </c>
      <c r="W52" s="31">
        <f t="shared" si="10"/>
        <v>-1.0522064585095239E-2</v>
      </c>
      <c r="X52" s="39">
        <f t="shared" si="11"/>
        <v>1.1071384313291545E-4</v>
      </c>
      <c r="Y52" s="16">
        <f t="shared" si="12"/>
        <v>0</v>
      </c>
      <c r="Z52" s="39">
        <f t="shared" si="11"/>
        <v>0</v>
      </c>
      <c r="AA52" s="16">
        <f t="shared" si="13"/>
        <v>-1.8794238411879813E-2</v>
      </c>
      <c r="AB52" s="13">
        <f t="shared" ref="AB52" si="73">AA52^2</f>
        <v>3.5322339748257865E-4</v>
      </c>
      <c r="AC52" s="33">
        <f t="shared" si="15"/>
        <v>-1.22064585095338E-4</v>
      </c>
      <c r="AD52" s="39">
        <f t="shared" si="16"/>
        <v>1.4899762934497012E-8</v>
      </c>
      <c r="AE52" s="16">
        <f t="shared" si="17"/>
        <v>0</v>
      </c>
      <c r="AF52" s="39">
        <f t="shared" si="18"/>
        <v>0</v>
      </c>
      <c r="AG52" s="16">
        <f t="shared" si="19"/>
        <v>-8.3942384118799104E-3</v>
      </c>
      <c r="AH52" s="39">
        <f t="shared" si="20"/>
        <v>7.0463238515480159E-5</v>
      </c>
      <c r="AI52" s="31">
        <f t="shared" si="21"/>
        <v>-9.1657905602788525E-2</v>
      </c>
      <c r="AJ52" s="13">
        <f t="shared" si="22"/>
        <v>-9.9930079429573104E-2</v>
      </c>
    </row>
    <row r="53" spans="1:36" x14ac:dyDescent="0.25">
      <c r="A53" s="29">
        <v>42095</v>
      </c>
      <c r="B53" s="12">
        <v>4.5563763521729098E-2</v>
      </c>
      <c r="C53" s="7">
        <v>9.5000000000000605E-3</v>
      </c>
      <c r="D53" s="7">
        <v>-5.6670711139720303E-2</v>
      </c>
      <c r="E53" s="13">
        <v>9.9296187683284506E-2</v>
      </c>
      <c r="F53" s="31">
        <f t="shared" si="0"/>
        <v>1.0455637635217292</v>
      </c>
      <c r="G53" s="7">
        <f t="shared" si="0"/>
        <v>1.0095000000000001</v>
      </c>
      <c r="H53" s="7">
        <f t="shared" si="0"/>
        <v>0.94332928886027967</v>
      </c>
      <c r="I53" s="13">
        <f t="shared" si="0"/>
        <v>1.0992961876832845</v>
      </c>
      <c r="J53" s="31">
        <f t="shared" si="23"/>
        <v>1.2180861675197501</v>
      </c>
      <c r="K53" s="7">
        <f>MAX($J$2:J53)</f>
        <v>1.2180861675197501</v>
      </c>
      <c r="L53" s="13">
        <f t="shared" si="1"/>
        <v>0</v>
      </c>
      <c r="M53" s="12">
        <f t="shared" si="24"/>
        <v>2.6609606952913816</v>
      </c>
      <c r="N53" s="7">
        <f>MAX($M$2:M53)</f>
        <v>2.8208184848223317</v>
      </c>
      <c r="O53" s="39">
        <f t="shared" si="2"/>
        <v>-5.6670711139720387E-2</v>
      </c>
      <c r="P53" s="31">
        <f t="shared" si="3"/>
        <v>4.5563763521729098E-2</v>
      </c>
      <c r="Q53" s="13" t="str">
        <f t="shared" si="4"/>
        <v xml:space="preserve"> </v>
      </c>
      <c r="R53" s="31" t="str">
        <f t="shared" si="5"/>
        <v xml:space="preserve"> </v>
      </c>
      <c r="S53" s="39">
        <f t="shared" si="6"/>
        <v>-5.6670711139720303E-2</v>
      </c>
      <c r="T53" s="31">
        <f t="shared" si="7"/>
        <v>3.6063763521729034E-2</v>
      </c>
      <c r="U53" s="39">
        <f t="shared" si="8"/>
        <v>-6.6170711139720367E-2</v>
      </c>
      <c r="V53" s="17">
        <f t="shared" si="9"/>
        <v>8.9796187683284442E-2</v>
      </c>
      <c r="W53" s="31">
        <f t="shared" si="10"/>
        <v>0</v>
      </c>
      <c r="X53" s="39">
        <f t="shared" si="11"/>
        <v>0</v>
      </c>
      <c r="Y53" s="16">
        <f t="shared" si="12"/>
        <v>-6.6170711139720367E-2</v>
      </c>
      <c r="Z53" s="39">
        <f t="shared" si="11"/>
        <v>4.3785630127363131E-3</v>
      </c>
      <c r="AA53" s="16">
        <f t="shared" si="13"/>
        <v>0</v>
      </c>
      <c r="AB53" s="13">
        <f t="shared" ref="AB53" si="74">AA53^2</f>
        <v>0</v>
      </c>
      <c r="AC53" s="33">
        <f t="shared" si="15"/>
        <v>0</v>
      </c>
      <c r="AD53" s="39">
        <f t="shared" si="16"/>
        <v>0</v>
      </c>
      <c r="AE53" s="16">
        <f t="shared" si="17"/>
        <v>-5.6670711139720303E-2</v>
      </c>
      <c r="AF53" s="39">
        <f t="shared" si="18"/>
        <v>3.211569501081619E-3</v>
      </c>
      <c r="AG53" s="16">
        <f t="shared" si="19"/>
        <v>0</v>
      </c>
      <c r="AH53" s="39">
        <f t="shared" si="20"/>
        <v>0</v>
      </c>
      <c r="AI53" s="31">
        <f t="shared" si="21"/>
        <v>0.10223447466144953</v>
      </c>
      <c r="AJ53" s="13">
        <f t="shared" si="22"/>
        <v>0.15596689882300485</v>
      </c>
    </row>
    <row r="54" spans="1:36" x14ac:dyDescent="0.25">
      <c r="A54" s="29">
        <v>42125</v>
      </c>
      <c r="B54" s="12">
        <v>-2.94387323706083E-2</v>
      </c>
      <c r="C54" s="7">
        <v>9.8000000000000292E-3</v>
      </c>
      <c r="D54" s="7">
        <v>7.32218367523505E-2</v>
      </c>
      <c r="E54" s="13">
        <v>-6.1694143591385198E-2</v>
      </c>
      <c r="F54" s="31">
        <f t="shared" si="0"/>
        <v>0.97056126762939166</v>
      </c>
      <c r="G54" s="7">
        <f t="shared" si="0"/>
        <v>1.0098</v>
      </c>
      <c r="H54" s="7">
        <f t="shared" si="0"/>
        <v>1.0732218367523505</v>
      </c>
      <c r="I54" s="13">
        <f t="shared" si="0"/>
        <v>0.93830585640861486</v>
      </c>
      <c r="J54" s="31">
        <f t="shared" si="23"/>
        <v>1.1822272548297961</v>
      </c>
      <c r="K54" s="7">
        <f>MAX($J$2:J54)</f>
        <v>1.2180861675197501</v>
      </c>
      <c r="L54" s="13">
        <f t="shared" si="1"/>
        <v>-2.9438732370608407E-2</v>
      </c>
      <c r="M54" s="12">
        <f t="shared" si="24"/>
        <v>2.8558011249264283</v>
      </c>
      <c r="N54" s="7">
        <f>MAX($M$2:M54)</f>
        <v>2.8558011249264283</v>
      </c>
      <c r="O54" s="39">
        <f t="shared" si="2"/>
        <v>0</v>
      </c>
      <c r="P54" s="31" t="str">
        <f t="shared" si="3"/>
        <v xml:space="preserve"> </v>
      </c>
      <c r="Q54" s="13">
        <f t="shared" si="4"/>
        <v>-2.94387323706083E-2</v>
      </c>
      <c r="R54" s="31">
        <f t="shared" si="5"/>
        <v>7.32218367523505E-2</v>
      </c>
      <c r="S54" s="39" t="str">
        <f t="shared" si="6"/>
        <v xml:space="preserve"> </v>
      </c>
      <c r="T54" s="31">
        <f t="shared" si="7"/>
        <v>-3.9238732370608327E-2</v>
      </c>
      <c r="U54" s="39">
        <f t="shared" si="8"/>
        <v>6.3421836752350469E-2</v>
      </c>
      <c r="V54" s="17">
        <f t="shared" si="9"/>
        <v>-7.1494143591385229E-2</v>
      </c>
      <c r="W54" s="31">
        <f t="shared" si="10"/>
        <v>-3.9238732370608327E-2</v>
      </c>
      <c r="X54" s="39">
        <f t="shared" si="11"/>
        <v>1.5396781180522258E-3</v>
      </c>
      <c r="Y54" s="16">
        <f t="shared" si="12"/>
        <v>0</v>
      </c>
      <c r="Z54" s="39">
        <f t="shared" si="11"/>
        <v>0</v>
      </c>
      <c r="AA54" s="16">
        <f t="shared" si="13"/>
        <v>-7.1494143591385229E-2</v>
      </c>
      <c r="AB54" s="13">
        <f t="shared" ref="AB54" si="75">AA54^2</f>
        <v>5.1114125678656096E-3</v>
      </c>
      <c r="AC54" s="33">
        <f t="shared" si="15"/>
        <v>-2.94387323706083E-2</v>
      </c>
      <c r="AD54" s="39">
        <f t="shared" si="16"/>
        <v>8.6663896358830093E-4</v>
      </c>
      <c r="AE54" s="16">
        <f t="shared" si="17"/>
        <v>0</v>
      </c>
      <c r="AF54" s="39">
        <f t="shared" si="18"/>
        <v>0</v>
      </c>
      <c r="AG54" s="16">
        <f t="shared" si="19"/>
        <v>-6.1694143591385198E-2</v>
      </c>
      <c r="AH54" s="39">
        <f t="shared" si="20"/>
        <v>3.8061673534744551E-3</v>
      </c>
      <c r="AI54" s="31">
        <f t="shared" si="21"/>
        <v>-0.10266056912295884</v>
      </c>
      <c r="AJ54" s="13">
        <f t="shared" si="22"/>
        <v>-0.13491598034373564</v>
      </c>
    </row>
    <row r="55" spans="1:36" x14ac:dyDescent="0.25">
      <c r="A55" s="29">
        <v>42156</v>
      </c>
      <c r="B55" s="12">
        <v>5.1705529416159399E-3</v>
      </c>
      <c r="C55" s="7">
        <v>1.0699999999999901E-2</v>
      </c>
      <c r="D55" s="7">
        <v>-4.2533556697420698E-2</v>
      </c>
      <c r="E55" s="13">
        <v>6.0841546626231296E-3</v>
      </c>
      <c r="F55" s="31">
        <f t="shared" si="0"/>
        <v>1.0051705529416159</v>
      </c>
      <c r="G55" s="7">
        <f t="shared" si="0"/>
        <v>1.0106999999999999</v>
      </c>
      <c r="H55" s="7">
        <f t="shared" si="0"/>
        <v>0.95746644330257935</v>
      </c>
      <c r="I55" s="13">
        <f t="shared" si="0"/>
        <v>1.0060841546626231</v>
      </c>
      <c r="J55" s="31">
        <f t="shared" si="23"/>
        <v>1.1883400234399148</v>
      </c>
      <c r="K55" s="7">
        <f>MAX($J$2:J55)</f>
        <v>1.2180861675197501</v>
      </c>
      <c r="L55" s="13">
        <f t="shared" si="1"/>
        <v>-2.4420393953248729E-2</v>
      </c>
      <c r="M55" s="12">
        <f t="shared" si="24"/>
        <v>2.7343337458628123</v>
      </c>
      <c r="N55" s="7">
        <f>MAX($M$2:M55)</f>
        <v>2.8558011249264283</v>
      </c>
      <c r="O55" s="39">
        <f t="shared" si="2"/>
        <v>-4.2533556697420698E-2</v>
      </c>
      <c r="P55" s="31">
        <f t="shared" si="3"/>
        <v>5.1705529416159399E-3</v>
      </c>
      <c r="Q55" s="13" t="str">
        <f t="shared" si="4"/>
        <v xml:space="preserve"> </v>
      </c>
      <c r="R55" s="31" t="str">
        <f t="shared" si="5"/>
        <v xml:space="preserve"> </v>
      </c>
      <c r="S55" s="39">
        <f t="shared" si="6"/>
        <v>-4.2533556697420698E-2</v>
      </c>
      <c r="T55" s="31">
        <f t="shared" si="7"/>
        <v>-5.5294470583839607E-3</v>
      </c>
      <c r="U55" s="39">
        <f t="shared" si="8"/>
        <v>-5.3233556697420595E-2</v>
      </c>
      <c r="V55" s="17">
        <f t="shared" si="9"/>
        <v>-4.615845337376771E-3</v>
      </c>
      <c r="W55" s="31">
        <f t="shared" si="10"/>
        <v>-5.5294470583839607E-3</v>
      </c>
      <c r="X55" s="39">
        <f t="shared" si="11"/>
        <v>3.0574784771471036E-5</v>
      </c>
      <c r="Y55" s="16">
        <f t="shared" si="12"/>
        <v>-5.3233556697420595E-2</v>
      </c>
      <c r="Z55" s="39">
        <f t="shared" si="11"/>
        <v>2.833811558657493E-3</v>
      </c>
      <c r="AA55" s="16">
        <f t="shared" si="13"/>
        <v>-4.615845337376771E-3</v>
      </c>
      <c r="AB55" s="13">
        <f t="shared" ref="AB55" si="76">AA55^2</f>
        <v>2.1306028178582876E-5</v>
      </c>
      <c r="AC55" s="33">
        <f t="shared" si="15"/>
        <v>0</v>
      </c>
      <c r="AD55" s="39">
        <f t="shared" si="16"/>
        <v>0</v>
      </c>
      <c r="AE55" s="16">
        <f t="shared" si="17"/>
        <v>-4.2533556697420698E-2</v>
      </c>
      <c r="AF55" s="39">
        <f t="shared" si="18"/>
        <v>1.8091034453327011E-3</v>
      </c>
      <c r="AG55" s="16">
        <f t="shared" si="19"/>
        <v>0</v>
      </c>
      <c r="AH55" s="39">
        <f t="shared" si="20"/>
        <v>0</v>
      </c>
      <c r="AI55" s="31">
        <f t="shared" si="21"/>
        <v>4.7704109639036596E-2</v>
      </c>
      <c r="AJ55" s="13">
        <f t="shared" si="22"/>
        <v>4.861771136004378E-2</v>
      </c>
    </row>
    <row r="56" spans="1:36" x14ac:dyDescent="0.25">
      <c r="A56" s="29">
        <v>42186</v>
      </c>
      <c r="B56" s="12">
        <v>-7.5421997926761099E-3</v>
      </c>
      <c r="C56" s="7">
        <v>1.18E-2</v>
      </c>
      <c r="D56" s="7">
        <v>9.5403166177826695E-2</v>
      </c>
      <c r="E56" s="13">
        <v>-4.1747517944273803E-2</v>
      </c>
      <c r="F56" s="31">
        <f t="shared" si="0"/>
        <v>0.99245780020732388</v>
      </c>
      <c r="G56" s="7">
        <f t="shared" si="0"/>
        <v>1.0118</v>
      </c>
      <c r="H56" s="7">
        <f t="shared" si="0"/>
        <v>1.0954031661778267</v>
      </c>
      <c r="I56" s="13">
        <f t="shared" si="0"/>
        <v>0.95825248205572622</v>
      </c>
      <c r="J56" s="31">
        <f t="shared" si="23"/>
        <v>1.1793773255614977</v>
      </c>
      <c r="K56" s="7">
        <f>MAX($J$2:J56)</f>
        <v>1.2180861675197501</v>
      </c>
      <c r="L56" s="13">
        <f t="shared" si="1"/>
        <v>-3.1778410255713534E-2</v>
      </c>
      <c r="M56" s="12">
        <f t="shared" si="24"/>
        <v>2.9951978426050014</v>
      </c>
      <c r="N56" s="7">
        <f>MAX($M$2:M56)</f>
        <v>2.9951978426050014</v>
      </c>
      <c r="O56" s="39">
        <f t="shared" si="2"/>
        <v>0</v>
      </c>
      <c r="P56" s="31" t="str">
        <f t="shared" si="3"/>
        <v xml:space="preserve"> </v>
      </c>
      <c r="Q56" s="13">
        <f t="shared" si="4"/>
        <v>-7.5421997926761099E-3</v>
      </c>
      <c r="R56" s="31">
        <f t="shared" si="5"/>
        <v>9.5403166177826695E-2</v>
      </c>
      <c r="S56" s="39" t="str">
        <f t="shared" si="6"/>
        <v xml:space="preserve"> </v>
      </c>
      <c r="T56" s="31">
        <f t="shared" si="7"/>
        <v>-1.934219979267611E-2</v>
      </c>
      <c r="U56" s="39">
        <f t="shared" si="8"/>
        <v>8.360316617782669E-2</v>
      </c>
      <c r="V56" s="17">
        <f t="shared" si="9"/>
        <v>-5.3547517944273801E-2</v>
      </c>
      <c r="W56" s="31">
        <f t="shared" si="10"/>
        <v>-1.934219979267611E-2</v>
      </c>
      <c r="X56" s="39">
        <f t="shared" si="11"/>
        <v>3.7412069281979972E-4</v>
      </c>
      <c r="Y56" s="16">
        <f t="shared" si="12"/>
        <v>0</v>
      </c>
      <c r="Z56" s="39">
        <f t="shared" si="11"/>
        <v>0</v>
      </c>
      <c r="AA56" s="16">
        <f t="shared" si="13"/>
        <v>-5.3547517944273801E-2</v>
      </c>
      <c r="AB56" s="13">
        <f t="shared" ref="AB56" si="77">AA56^2</f>
        <v>2.8673366779923249E-3</v>
      </c>
      <c r="AC56" s="33">
        <f t="shared" si="15"/>
        <v>-7.5421997926761099E-3</v>
      </c>
      <c r="AD56" s="39">
        <f t="shared" si="16"/>
        <v>5.6884777712643559E-5</v>
      </c>
      <c r="AE56" s="16">
        <f t="shared" si="17"/>
        <v>0</v>
      </c>
      <c r="AF56" s="39">
        <f t="shared" si="18"/>
        <v>0</v>
      </c>
      <c r="AG56" s="16">
        <f t="shared" si="19"/>
        <v>-4.1747517944273803E-2</v>
      </c>
      <c r="AH56" s="39">
        <f t="shared" si="20"/>
        <v>1.7428552545074632E-3</v>
      </c>
      <c r="AI56" s="31">
        <f t="shared" si="21"/>
        <v>-0.10294536597050286</v>
      </c>
      <c r="AJ56" s="13">
        <f t="shared" si="22"/>
        <v>-0.13715068412210052</v>
      </c>
    </row>
    <row r="57" spans="1:36" x14ac:dyDescent="0.25">
      <c r="A57" s="29">
        <v>42217</v>
      </c>
      <c r="B57" s="12">
        <v>-3.2686265753451002E-2</v>
      </c>
      <c r="C57" s="7">
        <v>1.1100000000000099E-2</v>
      </c>
      <c r="D57" s="7">
        <v>-8.7241648835591993E-3</v>
      </c>
      <c r="E57" s="13">
        <v>-8.3338248304335005E-2</v>
      </c>
      <c r="F57" s="31">
        <f t="shared" si="0"/>
        <v>0.96731373424654898</v>
      </c>
      <c r="G57" s="7">
        <f t="shared" si="0"/>
        <v>1.0111000000000001</v>
      </c>
      <c r="H57" s="7">
        <f t="shared" si="0"/>
        <v>0.9912758351164408</v>
      </c>
      <c r="I57" s="13">
        <f t="shared" si="0"/>
        <v>0.91666175169566499</v>
      </c>
      <c r="J57" s="31">
        <f t="shared" si="23"/>
        <v>1.1408278848746003</v>
      </c>
      <c r="K57" s="7">
        <f>MAX($J$2:J57)</f>
        <v>1.2180861675197501</v>
      </c>
      <c r="L57" s="13">
        <f t="shared" si="1"/>
        <v>-6.3425958446324052E-2</v>
      </c>
      <c r="M57" s="12">
        <f t="shared" si="24"/>
        <v>2.9690672427672347</v>
      </c>
      <c r="N57" s="7">
        <f>MAX($M$2:M57)</f>
        <v>2.9951978426050014</v>
      </c>
      <c r="O57" s="39">
        <f t="shared" si="2"/>
        <v>-8.7241648835591819E-3</v>
      </c>
      <c r="P57" s="31" t="str">
        <f t="shared" si="3"/>
        <v xml:space="preserve"> </v>
      </c>
      <c r="Q57" s="13">
        <f t="shared" si="4"/>
        <v>-3.2686265753451002E-2</v>
      </c>
      <c r="R57" s="31" t="str">
        <f t="shared" si="5"/>
        <v xml:space="preserve"> </v>
      </c>
      <c r="S57" s="39">
        <f t="shared" si="6"/>
        <v>-8.7241648835591993E-3</v>
      </c>
      <c r="T57" s="31">
        <f t="shared" si="7"/>
        <v>-4.3786265753451098E-2</v>
      </c>
      <c r="U57" s="39">
        <f t="shared" si="8"/>
        <v>-1.98241648835593E-2</v>
      </c>
      <c r="V57" s="17">
        <f t="shared" si="9"/>
        <v>-9.4438248304335101E-2</v>
      </c>
      <c r="W57" s="31">
        <f t="shared" si="10"/>
        <v>-4.3786265753451098E-2</v>
      </c>
      <c r="X57" s="39">
        <f t="shared" si="11"/>
        <v>1.9172370686318444E-3</v>
      </c>
      <c r="Y57" s="16">
        <f t="shared" si="12"/>
        <v>-1.98241648835593E-2</v>
      </c>
      <c r="Z57" s="39">
        <f t="shared" si="11"/>
        <v>3.9299751333054573E-4</v>
      </c>
      <c r="AA57" s="16">
        <f t="shared" si="13"/>
        <v>-9.4438248304335101E-2</v>
      </c>
      <c r="AB57" s="13">
        <f t="shared" ref="AB57" si="78">AA57^2</f>
        <v>8.9185827427912517E-3</v>
      </c>
      <c r="AC57" s="33">
        <f t="shared" si="15"/>
        <v>-3.2686265753451002E-2</v>
      </c>
      <c r="AD57" s="39">
        <f t="shared" si="16"/>
        <v>1.0683919689052238E-3</v>
      </c>
      <c r="AE57" s="16">
        <f t="shared" si="17"/>
        <v>-8.7241648835591993E-3</v>
      </c>
      <c r="AF57" s="39">
        <f t="shared" si="18"/>
        <v>7.61110529155275E-5</v>
      </c>
      <c r="AG57" s="16">
        <f t="shared" si="19"/>
        <v>-8.3338248304335005E-2</v>
      </c>
      <c r="AH57" s="39">
        <f t="shared" si="20"/>
        <v>6.945263630434996E-3</v>
      </c>
      <c r="AI57" s="31">
        <f t="shared" si="21"/>
        <v>-2.3962100869891811E-2</v>
      </c>
      <c r="AJ57" s="13">
        <f t="shared" si="22"/>
        <v>-7.4614083420775801E-2</v>
      </c>
    </row>
    <row r="58" spans="1:36" x14ac:dyDescent="0.25">
      <c r="A58" s="29">
        <v>42248</v>
      </c>
      <c r="B58" s="12">
        <v>-4.48677986612178E-3</v>
      </c>
      <c r="C58" s="7">
        <v>1.1100000000000099E-2</v>
      </c>
      <c r="D58" s="7">
        <v>8.5434483643616693E-2</v>
      </c>
      <c r="E58" s="13">
        <v>-3.3607858276498002E-2</v>
      </c>
      <c r="F58" s="31">
        <f t="shared" si="0"/>
        <v>0.99551322013387822</v>
      </c>
      <c r="G58" s="7">
        <f t="shared" si="0"/>
        <v>1.0111000000000001</v>
      </c>
      <c r="H58" s="7">
        <f t="shared" si="0"/>
        <v>1.0854344836436167</v>
      </c>
      <c r="I58" s="13">
        <f t="shared" si="0"/>
        <v>0.96639214172350196</v>
      </c>
      <c r="J58" s="31">
        <f t="shared" si="23"/>
        <v>1.1357092412900347</v>
      </c>
      <c r="K58" s="7">
        <f>MAX($J$2:J58)</f>
        <v>1.2180861675197501</v>
      </c>
      <c r="L58" s="13">
        <f t="shared" si="1"/>
        <v>-6.7628159999099338E-2</v>
      </c>
      <c r="M58" s="12">
        <f t="shared" si="24"/>
        <v>3.2227279695562303</v>
      </c>
      <c r="N58" s="7">
        <f>MAX($M$2:M58)</f>
        <v>3.2227279695562303</v>
      </c>
      <c r="O58" s="39">
        <f t="shared" si="2"/>
        <v>0</v>
      </c>
      <c r="P58" s="31" t="str">
        <f t="shared" si="3"/>
        <v xml:space="preserve"> </v>
      </c>
      <c r="Q58" s="13">
        <f t="shared" si="4"/>
        <v>-4.48677986612178E-3</v>
      </c>
      <c r="R58" s="31">
        <f t="shared" si="5"/>
        <v>8.5434483643616693E-2</v>
      </c>
      <c r="S58" s="39" t="str">
        <f t="shared" si="6"/>
        <v xml:space="preserve"> </v>
      </c>
      <c r="T58" s="31">
        <f t="shared" si="7"/>
        <v>-1.5586779866121879E-2</v>
      </c>
      <c r="U58" s="39">
        <f t="shared" si="8"/>
        <v>7.4334483643616597E-2</v>
      </c>
      <c r="V58" s="17">
        <f t="shared" si="9"/>
        <v>-4.4707858276498105E-2</v>
      </c>
      <c r="W58" s="31">
        <f t="shared" si="10"/>
        <v>-1.5586779866121879E-2</v>
      </c>
      <c r="X58" s="39">
        <f t="shared" si="11"/>
        <v>2.4294770659494239E-4</v>
      </c>
      <c r="Y58" s="16">
        <f t="shared" si="12"/>
        <v>0</v>
      </c>
      <c r="Z58" s="39">
        <f t="shared" si="11"/>
        <v>0</v>
      </c>
      <c r="AA58" s="16">
        <f t="shared" si="13"/>
        <v>-4.4707858276498105E-2</v>
      </c>
      <c r="AB58" s="13">
        <f t="shared" ref="AB58" si="79">AA58^2</f>
        <v>1.9987925916714402E-3</v>
      </c>
      <c r="AC58" s="33">
        <f t="shared" si="15"/>
        <v>-4.48677986612178E-3</v>
      </c>
      <c r="AD58" s="39">
        <f t="shared" si="16"/>
        <v>2.0131193567035777E-5</v>
      </c>
      <c r="AE58" s="16">
        <f t="shared" si="17"/>
        <v>0</v>
      </c>
      <c r="AF58" s="39">
        <f t="shared" si="18"/>
        <v>0</v>
      </c>
      <c r="AG58" s="16">
        <f t="shared" si="19"/>
        <v>-3.3607858276498002E-2</v>
      </c>
      <c r="AH58" s="39">
        <f t="shared" si="20"/>
        <v>1.1294881379331752E-3</v>
      </c>
      <c r="AI58" s="31">
        <f t="shared" si="21"/>
        <v>-8.9921263509738503E-2</v>
      </c>
      <c r="AJ58" s="13">
        <f t="shared" si="22"/>
        <v>-0.11904234192011476</v>
      </c>
    </row>
    <row r="59" spans="1:36" x14ac:dyDescent="0.25">
      <c r="A59" s="29">
        <v>42278</v>
      </c>
      <c r="B59" s="12">
        <v>1.8266248771294999E-2</v>
      </c>
      <c r="C59" s="7">
        <v>1.1100000000000099E-2</v>
      </c>
      <c r="D59" s="7">
        <v>2.24792451806821E-2</v>
      </c>
      <c r="E59" s="13">
        <v>1.79764309017067E-2</v>
      </c>
      <c r="F59" s="31">
        <f t="shared" si="0"/>
        <v>1.018266248771295</v>
      </c>
      <c r="G59" s="7">
        <f t="shared" si="0"/>
        <v>1.0111000000000001</v>
      </c>
      <c r="H59" s="7">
        <f t="shared" si="0"/>
        <v>1.0224792451806821</v>
      </c>
      <c r="I59" s="13">
        <f t="shared" si="0"/>
        <v>1.0179764309017068</v>
      </c>
      <c r="J59" s="31">
        <f t="shared" si="23"/>
        <v>1.1564543888232972</v>
      </c>
      <c r="K59" s="7">
        <f>MAX($J$2:J59)</f>
        <v>1.2180861675197501</v>
      </c>
      <c r="L59" s="13">
        <f t="shared" si="1"/>
        <v>-5.0597224022292796E-2</v>
      </c>
      <c r="M59" s="12">
        <f t="shared" si="24"/>
        <v>3.2951724617345266</v>
      </c>
      <c r="N59" s="7">
        <f>MAX($M$2:M59)</f>
        <v>3.2951724617345266</v>
      </c>
      <c r="O59" s="39">
        <f t="shared" si="2"/>
        <v>0</v>
      </c>
      <c r="P59" s="31">
        <f t="shared" si="3"/>
        <v>1.8266248771294999E-2</v>
      </c>
      <c r="Q59" s="13" t="str">
        <f t="shared" si="4"/>
        <v xml:space="preserve"> </v>
      </c>
      <c r="R59" s="31">
        <f t="shared" si="5"/>
        <v>2.24792451806821E-2</v>
      </c>
      <c r="S59" s="39" t="str">
        <f t="shared" si="6"/>
        <v xml:space="preserve"> </v>
      </c>
      <c r="T59" s="31">
        <f t="shared" si="7"/>
        <v>7.1662487712948995E-3</v>
      </c>
      <c r="U59" s="39">
        <f t="shared" si="8"/>
        <v>1.1379245180682E-2</v>
      </c>
      <c r="V59" s="17">
        <f t="shared" si="9"/>
        <v>6.8764309017066011E-3</v>
      </c>
      <c r="W59" s="31">
        <f t="shared" si="10"/>
        <v>0</v>
      </c>
      <c r="X59" s="39">
        <f t="shared" si="11"/>
        <v>0</v>
      </c>
      <c r="Y59" s="16">
        <f t="shared" si="12"/>
        <v>0</v>
      </c>
      <c r="Z59" s="39">
        <f t="shared" si="11"/>
        <v>0</v>
      </c>
      <c r="AA59" s="16">
        <f t="shared" si="13"/>
        <v>0</v>
      </c>
      <c r="AB59" s="13">
        <f t="shared" ref="AB59" si="80">AA59^2</f>
        <v>0</v>
      </c>
      <c r="AC59" s="33">
        <f t="shared" si="15"/>
        <v>0</v>
      </c>
      <c r="AD59" s="39">
        <f t="shared" si="16"/>
        <v>0</v>
      </c>
      <c r="AE59" s="16">
        <f t="shared" si="17"/>
        <v>0</v>
      </c>
      <c r="AF59" s="39">
        <f t="shared" si="18"/>
        <v>0</v>
      </c>
      <c r="AG59" s="16">
        <f t="shared" si="19"/>
        <v>0</v>
      </c>
      <c r="AH59" s="39">
        <f t="shared" si="20"/>
        <v>0</v>
      </c>
      <c r="AI59" s="31">
        <f t="shared" si="21"/>
        <v>-4.2129964093871042E-3</v>
      </c>
      <c r="AJ59" s="13">
        <f t="shared" si="22"/>
        <v>-4.5028142789753645E-3</v>
      </c>
    </row>
    <row r="60" spans="1:36" x14ac:dyDescent="0.25">
      <c r="A60" s="29">
        <v>42309</v>
      </c>
      <c r="B60" s="12">
        <v>1.44921846384535E-2</v>
      </c>
      <c r="C60" s="7">
        <v>1.0599999999999899E-2</v>
      </c>
      <c r="D60" s="7">
        <v>-1.7001696084251101E-3</v>
      </c>
      <c r="E60" s="13">
        <v>-1.6329111164402901E-2</v>
      </c>
      <c r="F60" s="31">
        <f t="shared" si="0"/>
        <v>1.0144921846384536</v>
      </c>
      <c r="G60" s="7">
        <f t="shared" si="0"/>
        <v>1.0105999999999999</v>
      </c>
      <c r="H60" s="7">
        <f t="shared" si="0"/>
        <v>0.99829983039157488</v>
      </c>
      <c r="I60" s="13">
        <f t="shared" si="0"/>
        <v>0.98367088883559706</v>
      </c>
      <c r="J60" s="31">
        <f t="shared" si="23"/>
        <v>1.1732139393520744</v>
      </c>
      <c r="K60" s="7">
        <f>MAX($J$2:J60)</f>
        <v>1.2180861675197501</v>
      </c>
      <c r="L60" s="13">
        <f t="shared" si="1"/>
        <v>-3.683830369656349E-2</v>
      </c>
      <c r="M60" s="12">
        <f t="shared" si="24"/>
        <v>3.2895701096605663</v>
      </c>
      <c r="N60" s="7">
        <f>MAX($M$2:M60)</f>
        <v>3.2951724617345266</v>
      </c>
      <c r="O60" s="39">
        <f t="shared" si="2"/>
        <v>-1.7001696084250856E-3</v>
      </c>
      <c r="P60" s="31">
        <f t="shared" si="3"/>
        <v>1.44921846384535E-2</v>
      </c>
      <c r="Q60" s="13" t="str">
        <f t="shared" si="4"/>
        <v xml:space="preserve"> </v>
      </c>
      <c r="R60" s="31" t="str">
        <f t="shared" si="5"/>
        <v xml:space="preserve"> </v>
      </c>
      <c r="S60" s="39">
        <f t="shared" si="6"/>
        <v>-1.7001696084251101E-3</v>
      </c>
      <c r="T60" s="31">
        <f t="shared" si="7"/>
        <v>3.8921846384536007E-3</v>
      </c>
      <c r="U60" s="39">
        <f t="shared" si="8"/>
        <v>-1.230016960842501E-2</v>
      </c>
      <c r="V60" s="17">
        <f t="shared" si="9"/>
        <v>-2.6929111164402803E-2</v>
      </c>
      <c r="W60" s="31">
        <f t="shared" si="10"/>
        <v>0</v>
      </c>
      <c r="X60" s="39">
        <f t="shared" si="11"/>
        <v>0</v>
      </c>
      <c r="Y60" s="16">
        <f t="shared" si="12"/>
        <v>-1.230016960842501E-2</v>
      </c>
      <c r="Z60" s="39">
        <f t="shared" si="11"/>
        <v>1.5129417239602227E-4</v>
      </c>
      <c r="AA60" s="16">
        <f t="shared" si="13"/>
        <v>-2.6929111164402803E-2</v>
      </c>
      <c r="AB60" s="13">
        <f t="shared" ref="AB60" si="81">AA60^2</f>
        <v>7.2517702810476366E-4</v>
      </c>
      <c r="AC60" s="33">
        <f t="shared" si="15"/>
        <v>0</v>
      </c>
      <c r="AD60" s="39">
        <f t="shared" si="16"/>
        <v>0</v>
      </c>
      <c r="AE60" s="16">
        <f t="shared" si="17"/>
        <v>-1.7001696084251101E-3</v>
      </c>
      <c r="AF60" s="39">
        <f t="shared" si="18"/>
        <v>2.8905766974123919E-6</v>
      </c>
      <c r="AG60" s="16">
        <f t="shared" si="19"/>
        <v>-1.6329111164402901E-2</v>
      </c>
      <c r="AH60" s="39">
        <f t="shared" si="20"/>
        <v>2.666398714194275E-4</v>
      </c>
      <c r="AI60" s="31">
        <f t="shared" si="21"/>
        <v>1.6192354246878704E-2</v>
      </c>
      <c r="AJ60" s="13">
        <f t="shared" si="22"/>
        <v>-1.4628941555977826E-2</v>
      </c>
    </row>
    <row r="61" spans="1:36" x14ac:dyDescent="0.25">
      <c r="A61" s="29">
        <v>42339</v>
      </c>
      <c r="B61" s="12">
        <v>6.0617835297103097E-3</v>
      </c>
      <c r="C61" s="7">
        <v>1.1599999999999999E-2</v>
      </c>
      <c r="D61" s="7">
        <v>1.0030740566593301E-3</v>
      </c>
      <c r="E61" s="13">
        <v>-3.9228723404255303E-2</v>
      </c>
      <c r="F61" s="31">
        <f t="shared" si="0"/>
        <v>1.0060617835297103</v>
      </c>
      <c r="G61" s="7">
        <f t="shared" si="0"/>
        <v>1.0116000000000001</v>
      </c>
      <c r="H61" s="7">
        <f t="shared" si="0"/>
        <v>1.0010030740566593</v>
      </c>
      <c r="I61" s="13">
        <f t="shared" si="0"/>
        <v>0.96077127659574468</v>
      </c>
      <c r="J61" s="31">
        <f t="shared" si="23"/>
        <v>1.1803257082864653</v>
      </c>
      <c r="K61" s="7">
        <f>MAX($J$2:J61)</f>
        <v>1.2180861675197501</v>
      </c>
      <c r="L61" s="13">
        <f t="shared" si="1"/>
        <v>-3.0999825989463509E-2</v>
      </c>
      <c r="M61" s="12">
        <f t="shared" si="24"/>
        <v>3.2928697920951286</v>
      </c>
      <c r="N61" s="7">
        <f>MAX($M$2:M61)</f>
        <v>3.2951724617345266</v>
      </c>
      <c r="O61" s="39">
        <f t="shared" si="2"/>
        <v>-6.9880094779193127E-4</v>
      </c>
      <c r="P61" s="31">
        <f t="shared" si="3"/>
        <v>6.0617835297103097E-3</v>
      </c>
      <c r="Q61" s="13" t="str">
        <f t="shared" si="4"/>
        <v xml:space="preserve"> </v>
      </c>
      <c r="R61" s="31">
        <f t="shared" si="5"/>
        <v>1.0030740566593301E-3</v>
      </c>
      <c r="S61" s="39" t="str">
        <f t="shared" si="6"/>
        <v xml:space="preserve"> </v>
      </c>
      <c r="T61" s="31">
        <f t="shared" si="7"/>
        <v>-5.5382164702896895E-3</v>
      </c>
      <c r="U61" s="39">
        <f t="shared" si="8"/>
        <v>-1.059692594334067E-2</v>
      </c>
      <c r="V61" s="17">
        <f t="shared" si="9"/>
        <v>-5.0828723404255302E-2</v>
      </c>
      <c r="W61" s="31">
        <f t="shared" si="10"/>
        <v>-5.5382164702896895E-3</v>
      </c>
      <c r="X61" s="39">
        <f t="shared" si="11"/>
        <v>3.0671841671787989E-5</v>
      </c>
      <c r="Y61" s="16">
        <f t="shared" si="12"/>
        <v>-1.059692594334067E-2</v>
      </c>
      <c r="Z61" s="39">
        <f t="shared" si="11"/>
        <v>1.1229483944864655E-4</v>
      </c>
      <c r="AA61" s="16">
        <f t="shared" si="13"/>
        <v>-5.0828723404255302E-2</v>
      </c>
      <c r="AB61" s="13">
        <f t="shared" ref="AB61" si="82">AA61^2</f>
        <v>2.5835591229062906E-3</v>
      </c>
      <c r="AC61" s="33">
        <f t="shared" si="15"/>
        <v>0</v>
      </c>
      <c r="AD61" s="39">
        <f t="shared" si="16"/>
        <v>0</v>
      </c>
      <c r="AE61" s="16">
        <f t="shared" si="17"/>
        <v>0</v>
      </c>
      <c r="AF61" s="39">
        <f t="shared" si="18"/>
        <v>0</v>
      </c>
      <c r="AG61" s="16">
        <f t="shared" si="19"/>
        <v>-3.9228723404255303E-2</v>
      </c>
      <c r="AH61" s="39">
        <f t="shared" si="20"/>
        <v>1.5388927399275678E-3</v>
      </c>
      <c r="AI61" s="31">
        <f t="shared" si="21"/>
        <v>5.0587094730509818E-3</v>
      </c>
      <c r="AJ61" s="13">
        <f t="shared" si="22"/>
        <v>-4.0231797460914653E-2</v>
      </c>
    </row>
    <row r="62" spans="1:36" x14ac:dyDescent="0.25">
      <c r="A62" s="29">
        <v>42370</v>
      </c>
      <c r="B62" s="12">
        <v>-5.04700731809415E-4</v>
      </c>
      <c r="C62" s="7">
        <v>1.04999999999999E-2</v>
      </c>
      <c r="D62" s="7">
        <v>-2.6120036306529999E-2</v>
      </c>
      <c r="E62" s="13">
        <v>-6.7912341407150995E-2</v>
      </c>
      <c r="F62" s="31">
        <f t="shared" si="0"/>
        <v>0.99949529926819058</v>
      </c>
      <c r="G62" s="7">
        <f t="shared" si="0"/>
        <v>1.0105</v>
      </c>
      <c r="H62" s="7">
        <f t="shared" si="0"/>
        <v>0.97387996369346996</v>
      </c>
      <c r="I62" s="13">
        <f t="shared" si="0"/>
        <v>0.93208765859284903</v>
      </c>
      <c r="J62" s="31">
        <f t="shared" si="23"/>
        <v>1.1797299970377197</v>
      </c>
      <c r="K62" s="7">
        <f>MAX($J$2:J62)</f>
        <v>1.2180861675197501</v>
      </c>
      <c r="L62" s="13">
        <f t="shared" si="1"/>
        <v>-3.1488881086410021E-2</v>
      </c>
      <c r="M62" s="12">
        <f t="shared" si="24"/>
        <v>3.2068599135729277</v>
      </c>
      <c r="N62" s="7">
        <f>MAX($M$2:M62)</f>
        <v>3.2951724617345266</v>
      </c>
      <c r="O62" s="39">
        <f t="shared" si="2"/>
        <v>-2.6800584548194669E-2</v>
      </c>
      <c r="P62" s="31" t="str">
        <f t="shared" si="3"/>
        <v xml:space="preserve"> </v>
      </c>
      <c r="Q62" s="13">
        <f t="shared" si="4"/>
        <v>-5.04700731809415E-4</v>
      </c>
      <c r="R62" s="31" t="str">
        <f t="shared" si="5"/>
        <v xml:space="preserve"> </v>
      </c>
      <c r="S62" s="39">
        <f t="shared" si="6"/>
        <v>-2.6120036306529999E-2</v>
      </c>
      <c r="T62" s="31">
        <f t="shared" si="7"/>
        <v>-1.1004700731809315E-2</v>
      </c>
      <c r="U62" s="39">
        <f t="shared" si="8"/>
        <v>-3.66200363065299E-2</v>
      </c>
      <c r="V62" s="17">
        <f t="shared" si="9"/>
        <v>-7.8412341407150893E-2</v>
      </c>
      <c r="W62" s="31">
        <f t="shared" si="10"/>
        <v>-1.1004700731809315E-2</v>
      </c>
      <c r="X62" s="39">
        <f t="shared" si="11"/>
        <v>1.2110343819668449E-4</v>
      </c>
      <c r="Y62" s="16">
        <f t="shared" si="12"/>
        <v>-3.66200363065299E-2</v>
      </c>
      <c r="Z62" s="39">
        <f t="shared" si="11"/>
        <v>1.3410270590915681E-3</v>
      </c>
      <c r="AA62" s="16">
        <f t="shared" si="13"/>
        <v>-7.8412341407150893E-2</v>
      </c>
      <c r="AB62" s="13">
        <f t="shared" ref="AB62" si="83">AA62^2</f>
        <v>6.1484952849515905E-3</v>
      </c>
      <c r="AC62" s="33">
        <f t="shared" si="15"/>
        <v>-5.04700731809415E-4</v>
      </c>
      <c r="AD62" s="39">
        <f t="shared" si="16"/>
        <v>2.5472282868895906E-7</v>
      </c>
      <c r="AE62" s="16">
        <f t="shared" si="17"/>
        <v>-2.6120036306529999E-2</v>
      </c>
      <c r="AF62" s="39">
        <f t="shared" si="18"/>
        <v>6.8225629665444527E-4</v>
      </c>
      <c r="AG62" s="16">
        <f t="shared" si="19"/>
        <v>-6.7912341407150995E-2</v>
      </c>
      <c r="AH62" s="39">
        <f t="shared" si="20"/>
        <v>4.6120861154014354E-3</v>
      </c>
      <c r="AI62" s="31">
        <f t="shared" si="21"/>
        <v>2.5615335574720621E-2</v>
      </c>
      <c r="AJ62" s="13">
        <f t="shared" si="22"/>
        <v>-4.179230510062093E-2</v>
      </c>
    </row>
    <row r="63" spans="1:36" x14ac:dyDescent="0.25">
      <c r="A63" s="29">
        <v>42401</v>
      </c>
      <c r="B63" s="12">
        <v>1.7866523665735299E-2</v>
      </c>
      <c r="C63" s="7">
        <v>0.01</v>
      </c>
      <c r="D63" s="7">
        <v>-3.5937423915158598E-2</v>
      </c>
      <c r="E63" s="13">
        <v>5.9100133643518099E-2</v>
      </c>
      <c r="F63" s="31">
        <f t="shared" si="0"/>
        <v>1.0178665236657354</v>
      </c>
      <c r="G63" s="7">
        <f t="shared" si="0"/>
        <v>1.01</v>
      </c>
      <c r="H63" s="7">
        <f t="shared" si="0"/>
        <v>0.96406257608484136</v>
      </c>
      <c r="I63" s="13">
        <f t="shared" si="0"/>
        <v>1.0591001336435182</v>
      </c>
      <c r="J63" s="31">
        <f t="shared" si="23"/>
        <v>1.2008076709489721</v>
      </c>
      <c r="K63" s="7">
        <f>MAX($J$2:J63)</f>
        <v>1.2180861675197501</v>
      </c>
      <c r="L63" s="13">
        <f t="shared" si="1"/>
        <v>-1.4184954259812496E-2</v>
      </c>
      <c r="M63" s="12">
        <f t="shared" si="24"/>
        <v>3.0916136294223282</v>
      </c>
      <c r="N63" s="7">
        <f>MAX($M$2:M63)</f>
        <v>3.2951724617345266</v>
      </c>
      <c r="O63" s="39">
        <f t="shared" si="2"/>
        <v>-6.1774864495270837E-2</v>
      </c>
      <c r="P63" s="31">
        <f t="shared" si="3"/>
        <v>1.7866523665735299E-2</v>
      </c>
      <c r="Q63" s="13" t="str">
        <f t="shared" si="4"/>
        <v xml:space="preserve"> </v>
      </c>
      <c r="R63" s="31" t="str">
        <f t="shared" si="5"/>
        <v xml:space="preserve"> </v>
      </c>
      <c r="S63" s="39">
        <f t="shared" si="6"/>
        <v>-3.5937423915158598E-2</v>
      </c>
      <c r="T63" s="31">
        <f t="shared" si="7"/>
        <v>7.8665236657352988E-3</v>
      </c>
      <c r="U63" s="39">
        <f t="shared" si="8"/>
        <v>-4.59374239151586E-2</v>
      </c>
      <c r="V63" s="17">
        <f t="shared" si="9"/>
        <v>4.9100133643518097E-2</v>
      </c>
      <c r="W63" s="31">
        <f t="shared" si="10"/>
        <v>0</v>
      </c>
      <c r="X63" s="39">
        <f t="shared" si="11"/>
        <v>0</v>
      </c>
      <c r="Y63" s="16">
        <f t="shared" si="12"/>
        <v>-4.59374239151586E-2</v>
      </c>
      <c r="Z63" s="39">
        <f t="shared" si="11"/>
        <v>2.1102469159609851E-3</v>
      </c>
      <c r="AA63" s="16">
        <f t="shared" si="13"/>
        <v>0</v>
      </c>
      <c r="AB63" s="13">
        <f t="shared" ref="AB63" si="84">AA63^2</f>
        <v>0</v>
      </c>
      <c r="AC63" s="33">
        <f t="shared" si="15"/>
        <v>0</v>
      </c>
      <c r="AD63" s="39">
        <f t="shared" si="16"/>
        <v>0</v>
      </c>
      <c r="AE63" s="16">
        <f t="shared" si="17"/>
        <v>-3.5937423915158598E-2</v>
      </c>
      <c r="AF63" s="39">
        <f t="shared" si="18"/>
        <v>1.2914984376578131E-3</v>
      </c>
      <c r="AG63" s="16">
        <f t="shared" si="19"/>
        <v>0</v>
      </c>
      <c r="AH63" s="39">
        <f t="shared" si="20"/>
        <v>0</v>
      </c>
      <c r="AI63" s="31">
        <f t="shared" si="21"/>
        <v>5.3803947580894018E-2</v>
      </c>
      <c r="AJ63" s="13">
        <f t="shared" si="22"/>
        <v>9.5037557558676822E-2</v>
      </c>
    </row>
    <row r="64" spans="1:36" x14ac:dyDescent="0.25">
      <c r="A64" s="29">
        <v>42430</v>
      </c>
      <c r="B64" s="12">
        <v>5.3334939601800302E-2</v>
      </c>
      <c r="C64" s="7">
        <v>1.1599999999999999E-2</v>
      </c>
      <c r="D64" s="7">
        <v>-2.44863948048843E-2</v>
      </c>
      <c r="E64" s="13">
        <v>0.169673318689535</v>
      </c>
      <c r="F64" s="31">
        <f t="shared" si="0"/>
        <v>1.0533349396018004</v>
      </c>
      <c r="G64" s="7">
        <f t="shared" si="0"/>
        <v>1.0116000000000001</v>
      </c>
      <c r="H64" s="7">
        <f t="shared" si="0"/>
        <v>0.97551360519511565</v>
      </c>
      <c r="I64" s="13">
        <f t="shared" si="0"/>
        <v>1.1696733186895349</v>
      </c>
      <c r="J64" s="31">
        <f t="shared" si="23"/>
        <v>1.2648526755524141</v>
      </c>
      <c r="K64" s="7">
        <f>MAX($J$2:J64)</f>
        <v>1.2648526755524141</v>
      </c>
      <c r="L64" s="13">
        <f t="shared" si="1"/>
        <v>0</v>
      </c>
      <c r="M64" s="12">
        <f t="shared" si="24"/>
        <v>3.0159111575081319</v>
      </c>
      <c r="N64" s="7">
        <f>MAX($M$2:M64)</f>
        <v>3.2951724617345266</v>
      </c>
      <c r="O64" s="39">
        <f t="shared" si="2"/>
        <v>-8.4748615579105679E-2</v>
      </c>
      <c r="P64" s="31">
        <f t="shared" si="3"/>
        <v>5.3334939601800302E-2</v>
      </c>
      <c r="Q64" s="13" t="str">
        <f t="shared" si="4"/>
        <v xml:space="preserve"> </v>
      </c>
      <c r="R64" s="31" t="str">
        <f t="shared" si="5"/>
        <v xml:space="preserve"> </v>
      </c>
      <c r="S64" s="39">
        <f t="shared" si="6"/>
        <v>-2.44863948048843E-2</v>
      </c>
      <c r="T64" s="31">
        <f t="shared" si="7"/>
        <v>4.1734939601800303E-2</v>
      </c>
      <c r="U64" s="39">
        <f t="shared" si="8"/>
        <v>-3.6086394804884299E-2</v>
      </c>
      <c r="V64" s="17">
        <f t="shared" si="9"/>
        <v>0.158073318689535</v>
      </c>
      <c r="W64" s="31">
        <f t="shared" si="10"/>
        <v>0</v>
      </c>
      <c r="X64" s="39">
        <f t="shared" si="11"/>
        <v>0</v>
      </c>
      <c r="Y64" s="16">
        <f t="shared" si="12"/>
        <v>-3.6086394804884299E-2</v>
      </c>
      <c r="Z64" s="39">
        <f t="shared" si="11"/>
        <v>1.3022278900139805E-3</v>
      </c>
      <c r="AA64" s="16">
        <f t="shared" si="13"/>
        <v>0</v>
      </c>
      <c r="AB64" s="13">
        <f t="shared" ref="AB64" si="85">AA64^2</f>
        <v>0</v>
      </c>
      <c r="AC64" s="33">
        <f t="shared" si="15"/>
        <v>0</v>
      </c>
      <c r="AD64" s="39">
        <f t="shared" si="16"/>
        <v>0</v>
      </c>
      <c r="AE64" s="16">
        <f t="shared" si="17"/>
        <v>-2.44863948048843E-2</v>
      </c>
      <c r="AF64" s="39">
        <f t="shared" si="18"/>
        <v>5.9958353054066478E-4</v>
      </c>
      <c r="AG64" s="16">
        <f t="shared" si="19"/>
        <v>0</v>
      </c>
      <c r="AH64" s="39">
        <f t="shared" si="20"/>
        <v>0</v>
      </c>
      <c r="AI64" s="31">
        <f t="shared" si="21"/>
        <v>7.7821334406684706E-2</v>
      </c>
      <c r="AJ64" s="13">
        <f t="shared" si="22"/>
        <v>0.19415971349441929</v>
      </c>
    </row>
    <row r="65" spans="1:36" x14ac:dyDescent="0.25">
      <c r="A65" s="29">
        <v>42461</v>
      </c>
      <c r="B65" s="12">
        <v>2.07112704604244E-2</v>
      </c>
      <c r="C65" s="7">
        <v>1.04999999999999E-2</v>
      </c>
      <c r="D65" s="7">
        <v>-3.2028699428166198E-2</v>
      </c>
      <c r="E65" s="13">
        <v>7.7035261212666101E-2</v>
      </c>
      <c r="F65" s="31">
        <f t="shared" si="0"/>
        <v>1.0207112704604244</v>
      </c>
      <c r="G65" s="7">
        <f t="shared" si="0"/>
        <v>1.0105</v>
      </c>
      <c r="H65" s="7">
        <f t="shared" si="0"/>
        <v>0.96797130057183378</v>
      </c>
      <c r="I65" s="13">
        <f t="shared" si="0"/>
        <v>1.0770352612126661</v>
      </c>
      <c r="J65" s="31">
        <f t="shared" si="23"/>
        <v>1.2910493814083717</v>
      </c>
      <c r="K65" s="7">
        <f>MAX($J$2:J65)</f>
        <v>1.2910493814083717</v>
      </c>
      <c r="L65" s="13">
        <f t="shared" si="1"/>
        <v>0</v>
      </c>
      <c r="M65" s="12">
        <f t="shared" si="24"/>
        <v>2.9193154455422512</v>
      </c>
      <c r="N65" s="7">
        <f>MAX($M$2:M65)</f>
        <v>3.2951724617345266</v>
      </c>
      <c r="O65" s="39">
        <f t="shared" si="2"/>
        <v>-0.11406292707193548</v>
      </c>
      <c r="P65" s="31">
        <f t="shared" si="3"/>
        <v>2.07112704604244E-2</v>
      </c>
      <c r="Q65" s="13" t="str">
        <f t="shared" si="4"/>
        <v xml:space="preserve"> </v>
      </c>
      <c r="R65" s="31" t="str">
        <f t="shared" si="5"/>
        <v xml:space="preserve"> </v>
      </c>
      <c r="S65" s="39">
        <f t="shared" si="6"/>
        <v>-3.2028699428166198E-2</v>
      </c>
      <c r="T65" s="31">
        <f t="shared" si="7"/>
        <v>1.02112704604245E-2</v>
      </c>
      <c r="U65" s="39">
        <f t="shared" si="8"/>
        <v>-4.2528699428166096E-2</v>
      </c>
      <c r="V65" s="17">
        <f t="shared" si="9"/>
        <v>6.6535261212666202E-2</v>
      </c>
      <c r="W65" s="31">
        <f t="shared" si="10"/>
        <v>0</v>
      </c>
      <c r="X65" s="39">
        <f t="shared" si="11"/>
        <v>0</v>
      </c>
      <c r="Y65" s="16">
        <f t="shared" si="12"/>
        <v>-4.2528699428166096E-2</v>
      </c>
      <c r="Z65" s="39">
        <f t="shared" si="11"/>
        <v>1.8086902750512953E-3</v>
      </c>
      <c r="AA65" s="16">
        <f t="shared" si="13"/>
        <v>0</v>
      </c>
      <c r="AB65" s="13">
        <f t="shared" ref="AB65" si="86">AA65^2</f>
        <v>0</v>
      </c>
      <c r="AC65" s="33">
        <f t="shared" si="15"/>
        <v>0</v>
      </c>
      <c r="AD65" s="39">
        <f t="shared" si="16"/>
        <v>0</v>
      </c>
      <c r="AE65" s="16">
        <f t="shared" si="17"/>
        <v>-3.2028699428166198E-2</v>
      </c>
      <c r="AF65" s="39">
        <f t="shared" si="18"/>
        <v>1.0258375870598137E-3</v>
      </c>
      <c r="AG65" s="16">
        <f t="shared" si="19"/>
        <v>0</v>
      </c>
      <c r="AH65" s="39">
        <f t="shared" si="20"/>
        <v>0</v>
      </c>
      <c r="AI65" s="31">
        <f t="shared" si="21"/>
        <v>5.2739969888590643E-2</v>
      </c>
      <c r="AJ65" s="13">
        <f t="shared" si="22"/>
        <v>0.10906396064083235</v>
      </c>
    </row>
    <row r="66" spans="1:36" x14ac:dyDescent="0.25">
      <c r="A66" s="29">
        <v>42491</v>
      </c>
      <c r="B66" s="12">
        <v>-8.1174701529842502E-3</v>
      </c>
      <c r="C66" s="7">
        <v>1.1100000000000099E-2</v>
      </c>
      <c r="D66" s="7">
        <v>4.5987039592061102E-2</v>
      </c>
      <c r="E66" s="13">
        <v>-0.100888501419005</v>
      </c>
      <c r="F66" s="31">
        <f t="shared" si="0"/>
        <v>0.99188252984701575</v>
      </c>
      <c r="G66" s="7">
        <f t="shared" si="0"/>
        <v>1.0111000000000001</v>
      </c>
      <c r="H66" s="7">
        <f t="shared" si="0"/>
        <v>1.0459870395920612</v>
      </c>
      <c r="I66" s="13">
        <f t="shared" ref="I66" si="87">1+E66</f>
        <v>0.89911149858099504</v>
      </c>
      <c r="J66" s="31">
        <f t="shared" si="23"/>
        <v>1.2805693265887603</v>
      </c>
      <c r="K66" s="7">
        <f>MAX($J$2:J66)</f>
        <v>1.2910493814083717</v>
      </c>
      <c r="L66" s="13">
        <f t="shared" si="1"/>
        <v>-8.11747015298433E-3</v>
      </c>
      <c r="M66" s="12">
        <f t="shared" si="24"/>
        <v>3.0535661205181186</v>
      </c>
      <c r="N66" s="7">
        <f>MAX($M$2:M66)</f>
        <v>3.2951724617345266</v>
      </c>
      <c r="O66" s="39">
        <f t="shared" si="2"/>
        <v>-7.3321303823117731E-2</v>
      </c>
      <c r="P66" s="31" t="str">
        <f t="shared" si="3"/>
        <v xml:space="preserve"> </v>
      </c>
      <c r="Q66" s="13">
        <f t="shared" si="4"/>
        <v>-8.1174701529842502E-3</v>
      </c>
      <c r="R66" s="31">
        <f t="shared" si="5"/>
        <v>4.5987039592061102E-2</v>
      </c>
      <c r="S66" s="39" t="str">
        <f t="shared" si="6"/>
        <v xml:space="preserve"> </v>
      </c>
      <c r="T66" s="31">
        <f t="shared" si="7"/>
        <v>-1.9217470152984348E-2</v>
      </c>
      <c r="U66" s="39">
        <f t="shared" si="8"/>
        <v>3.4887039592061006E-2</v>
      </c>
      <c r="V66" s="17">
        <f t="shared" si="9"/>
        <v>-0.1119885014190051</v>
      </c>
      <c r="W66" s="31">
        <f t="shared" si="10"/>
        <v>-1.9217470152984348E-2</v>
      </c>
      <c r="X66" s="39">
        <f t="shared" si="11"/>
        <v>3.6931115908084424E-4</v>
      </c>
      <c r="Y66" s="16">
        <f t="shared" si="12"/>
        <v>0</v>
      </c>
      <c r="Z66" s="39">
        <f t="shared" si="11"/>
        <v>0</v>
      </c>
      <c r="AA66" s="16">
        <f t="shared" si="13"/>
        <v>-0.1119885014190051</v>
      </c>
      <c r="AB66" s="13">
        <f t="shared" ref="AB66" si="88">AA66^2</f>
        <v>1.2541424450074508E-2</v>
      </c>
      <c r="AC66" s="33">
        <f t="shared" si="15"/>
        <v>-8.1174701529842502E-3</v>
      </c>
      <c r="AD66" s="39">
        <f t="shared" si="16"/>
        <v>6.589332168459014E-5</v>
      </c>
      <c r="AE66" s="16">
        <f t="shared" si="17"/>
        <v>0</v>
      </c>
      <c r="AF66" s="39">
        <f t="shared" si="18"/>
        <v>0</v>
      </c>
      <c r="AG66" s="16">
        <f t="shared" si="19"/>
        <v>-0.100888501419005</v>
      </c>
      <c r="AH66" s="39">
        <f t="shared" si="20"/>
        <v>1.0178489718572574E-2</v>
      </c>
      <c r="AI66" s="31">
        <f t="shared" si="21"/>
        <v>-5.4104509745045437E-2</v>
      </c>
      <c r="AJ66" s="13">
        <f t="shared" si="22"/>
        <v>-0.14687554101106615</v>
      </c>
    </row>
    <row r="67" spans="1:36" x14ac:dyDescent="0.25">
      <c r="A67" s="29">
        <v>42522</v>
      </c>
      <c r="B67" s="12">
        <v>7.6862939842350297E-3</v>
      </c>
      <c r="C67" s="7">
        <v>1.1599999999999999E-2</v>
      </c>
      <c r="D67" s="7">
        <v>-0.101423005824271</v>
      </c>
      <c r="E67" s="13">
        <v>6.3026076910381201E-2</v>
      </c>
      <c r="F67" s="31">
        <f t="shared" ref="F67:I130" si="89">1+B67</f>
        <v>1.007686293984235</v>
      </c>
      <c r="G67" s="7">
        <f t="shared" si="89"/>
        <v>1.0116000000000001</v>
      </c>
      <c r="H67" s="7">
        <f t="shared" si="89"/>
        <v>0.898576994175729</v>
      </c>
      <c r="I67" s="13">
        <f t="shared" si="89"/>
        <v>1.0630260769103812</v>
      </c>
      <c r="J67" s="31">
        <f t="shared" si="23"/>
        <v>1.2904121589001154</v>
      </c>
      <c r="K67" s="7">
        <f>MAX($J$2:J67)</f>
        <v>1.2910493814083717</v>
      </c>
      <c r="L67" s="13">
        <f t="shared" ref="L67:L130" si="90">(J67-K67)/K67</f>
        <v>-4.9356943075340312E-4</v>
      </c>
      <c r="M67" s="12">
        <f t="shared" si="24"/>
        <v>2.7438642660920127</v>
      </c>
      <c r="N67" s="7">
        <f>MAX($M$2:M67)</f>
        <v>3.2951724617345266</v>
      </c>
      <c r="O67" s="39">
        <f t="shared" ref="O67:O130" si="91">(M67-N67)/N67</f>
        <v>-0.16730784262269355</v>
      </c>
      <c r="P67" s="31">
        <f t="shared" ref="P67:P130" si="92">IF(B67&gt;0,B67," ")</f>
        <v>7.6862939842350297E-3</v>
      </c>
      <c r="Q67" s="13" t="str">
        <f t="shared" ref="Q67:Q130" si="93">IF(B67&lt;0,B67," ")</f>
        <v xml:space="preserve"> </v>
      </c>
      <c r="R67" s="31" t="str">
        <f t="shared" ref="R67:R130" si="94">IF(D67&gt;0,D67," ")</f>
        <v xml:space="preserve"> </v>
      </c>
      <c r="S67" s="39">
        <f t="shared" ref="S67:S130" si="95">IF(D67&lt;0,D67," ")</f>
        <v>-0.101423005824271</v>
      </c>
      <c r="T67" s="31">
        <f t="shared" ref="T67:T130" si="96">B67-C67</f>
        <v>-3.9137060157649695E-3</v>
      </c>
      <c r="U67" s="39">
        <f t="shared" ref="U67:U130" si="97">D67-C67</f>
        <v>-0.11302300582427099</v>
      </c>
      <c r="V67" s="17">
        <f t="shared" ref="V67:V130" si="98">E67-C67</f>
        <v>5.1426076910381202E-2</v>
      </c>
      <c r="W67" s="31">
        <f t="shared" ref="W67:W130" si="99">IF(T67&lt;0,T67,0)</f>
        <v>-3.9137060157649695E-3</v>
      </c>
      <c r="X67" s="39">
        <f t="shared" ref="X67:Z130" si="100">W67^2</f>
        <v>1.5317094777834912E-5</v>
      </c>
      <c r="Y67" s="16">
        <f t="shared" ref="Y67:Y130" si="101">IF(U67&lt;0,U67,0)</f>
        <v>-0.11302300582427099</v>
      </c>
      <c r="Z67" s="39">
        <f t="shared" si="100"/>
        <v>1.2774199845553195E-2</v>
      </c>
      <c r="AA67" s="16">
        <f t="shared" ref="AA67:AA130" si="102">IF(V67&lt;0,V67,0)</f>
        <v>0</v>
      </c>
      <c r="AB67" s="13">
        <f t="shared" ref="AB67" si="103">AA67^2</f>
        <v>0</v>
      </c>
      <c r="AC67" s="33">
        <f t="shared" ref="AC67:AC130" si="104">IF(B67&lt;0,B67,0)</f>
        <v>0</v>
      </c>
      <c r="AD67" s="39">
        <f t="shared" ref="AD67:AD130" si="105">AC67^2</f>
        <v>0</v>
      </c>
      <c r="AE67" s="16">
        <f t="shared" ref="AE67:AE130" si="106">IF(D67&lt;0,D67,0)</f>
        <v>-0.101423005824271</v>
      </c>
      <c r="AF67" s="39">
        <f t="shared" ref="AF67:AF130" si="107">AE67^2</f>
        <v>1.0286626110430108E-2</v>
      </c>
      <c r="AG67" s="16">
        <f t="shared" ref="AG67:AG130" si="108">IF(E67&lt;0,E67,0)</f>
        <v>0</v>
      </c>
      <c r="AH67" s="39">
        <f t="shared" ref="AH67:AH130" si="109">AG67^2</f>
        <v>0</v>
      </c>
      <c r="AI67" s="31">
        <f t="shared" ref="AI67:AI130" si="110">F67-$H67</f>
        <v>0.10910929980850603</v>
      </c>
      <c r="AJ67" s="13">
        <f t="shared" ref="AJ67:AJ130" si="111">I67-$H67</f>
        <v>0.1644490827346522</v>
      </c>
    </row>
    <row r="68" spans="1:36" x14ac:dyDescent="0.25">
      <c r="A68" s="29">
        <v>42552</v>
      </c>
      <c r="B68" s="12">
        <v>3.4614119929531298E-2</v>
      </c>
      <c r="C68" s="7">
        <v>1.1100000000000099E-2</v>
      </c>
      <c r="D68" s="7">
        <v>5.2745250033872502E-2</v>
      </c>
      <c r="E68" s="13">
        <v>0.112193607235041</v>
      </c>
      <c r="F68" s="31">
        <f t="shared" si="89"/>
        <v>1.0346141199295313</v>
      </c>
      <c r="G68" s="7">
        <f t="shared" si="89"/>
        <v>1.0111000000000001</v>
      </c>
      <c r="H68" s="7">
        <f t="shared" si="89"/>
        <v>1.0527452500338725</v>
      </c>
      <c r="I68" s="13">
        <f t="shared" si="89"/>
        <v>1.1121936072350409</v>
      </c>
      <c r="J68" s="31">
        <f t="shared" ref="J68:J131" si="112">J67*(1+B68)</f>
        <v>1.3350786401268095</v>
      </c>
      <c r="K68" s="7">
        <f>MAX($J$2:J68)</f>
        <v>1.3350786401268095</v>
      </c>
      <c r="L68" s="13">
        <f t="shared" si="90"/>
        <v>0</v>
      </c>
      <c r="M68" s="12">
        <f t="shared" ref="M68:M131" si="113">M67*(1+D68)</f>
        <v>2.8885900728660441</v>
      </c>
      <c r="N68" s="7">
        <f>MAX($M$2:M68)</f>
        <v>3.2951724617345266</v>
      </c>
      <c r="O68" s="39">
        <f t="shared" si="91"/>
        <v>-0.12338728658058279</v>
      </c>
      <c r="P68" s="31">
        <f t="shared" si="92"/>
        <v>3.4614119929531298E-2</v>
      </c>
      <c r="Q68" s="13" t="str">
        <f t="shared" si="93"/>
        <v xml:space="preserve"> </v>
      </c>
      <c r="R68" s="31">
        <f t="shared" si="94"/>
        <v>5.2745250033872502E-2</v>
      </c>
      <c r="S68" s="39" t="str">
        <f t="shared" si="95"/>
        <v xml:space="preserve"> </v>
      </c>
      <c r="T68" s="31">
        <f t="shared" si="96"/>
        <v>2.3514119929531199E-2</v>
      </c>
      <c r="U68" s="39">
        <f t="shared" si="97"/>
        <v>4.16452500338724E-2</v>
      </c>
      <c r="V68" s="17">
        <f t="shared" si="98"/>
        <v>0.10109360723504091</v>
      </c>
      <c r="W68" s="31">
        <f t="shared" si="99"/>
        <v>0</v>
      </c>
      <c r="X68" s="39">
        <f t="shared" si="100"/>
        <v>0</v>
      </c>
      <c r="Y68" s="16">
        <f t="shared" si="101"/>
        <v>0</v>
      </c>
      <c r="Z68" s="39">
        <f t="shared" si="100"/>
        <v>0</v>
      </c>
      <c r="AA68" s="16">
        <f t="shared" si="102"/>
        <v>0</v>
      </c>
      <c r="AB68" s="13">
        <f t="shared" ref="AB68" si="114">AA68^2</f>
        <v>0</v>
      </c>
      <c r="AC68" s="33">
        <f t="shared" si="104"/>
        <v>0</v>
      </c>
      <c r="AD68" s="39">
        <f t="shared" si="105"/>
        <v>0</v>
      </c>
      <c r="AE68" s="16">
        <f t="shared" si="106"/>
        <v>0</v>
      </c>
      <c r="AF68" s="39">
        <f t="shared" si="107"/>
        <v>0</v>
      </c>
      <c r="AG68" s="16">
        <f t="shared" si="108"/>
        <v>0</v>
      </c>
      <c r="AH68" s="39">
        <f t="shared" si="109"/>
        <v>0</v>
      </c>
      <c r="AI68" s="31">
        <f t="shared" si="110"/>
        <v>-1.8131130104341198E-2</v>
      </c>
      <c r="AJ68" s="13">
        <f t="shared" si="111"/>
        <v>5.9448357201168367E-2</v>
      </c>
    </row>
    <row r="69" spans="1:36" x14ac:dyDescent="0.25">
      <c r="A69" s="29">
        <v>42583</v>
      </c>
      <c r="B69" s="12">
        <v>1.45451964610243E-2</v>
      </c>
      <c r="C69" s="7">
        <v>1.21E-2</v>
      </c>
      <c r="D69" s="7">
        <v>5.6626579667851096E-4</v>
      </c>
      <c r="E69" s="13">
        <v>1.03475954491518E-2</v>
      </c>
      <c r="F69" s="31">
        <f t="shared" si="89"/>
        <v>1.0145451964610244</v>
      </c>
      <c r="G69" s="7">
        <f t="shared" si="89"/>
        <v>1.0121</v>
      </c>
      <c r="H69" s="7">
        <f t="shared" si="89"/>
        <v>1.0005662657966785</v>
      </c>
      <c r="I69" s="13">
        <f t="shared" si="89"/>
        <v>1.0103475954491519</v>
      </c>
      <c r="J69" s="31">
        <f t="shared" si="112"/>
        <v>1.3544976212383713</v>
      </c>
      <c r="K69" s="7">
        <f>MAX($J$2:J69)</f>
        <v>1.3544976212383713</v>
      </c>
      <c r="L69" s="13">
        <f t="shared" si="90"/>
        <v>0</v>
      </c>
      <c r="M69" s="12">
        <f t="shared" si="113"/>
        <v>2.8902257826249333</v>
      </c>
      <c r="N69" s="7">
        <f>MAX($M$2:M69)</f>
        <v>3.2951724617345266</v>
      </c>
      <c r="O69" s="39">
        <f t="shared" si="91"/>
        <v>-0.12289089078403979</v>
      </c>
      <c r="P69" s="31">
        <f t="shared" si="92"/>
        <v>1.45451964610243E-2</v>
      </c>
      <c r="Q69" s="13" t="str">
        <f t="shared" si="93"/>
        <v xml:space="preserve"> </v>
      </c>
      <c r="R69" s="31">
        <f t="shared" si="94"/>
        <v>5.6626579667851096E-4</v>
      </c>
      <c r="S69" s="39" t="str">
        <f t="shared" si="95"/>
        <v xml:space="preserve"> </v>
      </c>
      <c r="T69" s="31">
        <f t="shared" si="96"/>
        <v>2.4451964610243005E-3</v>
      </c>
      <c r="U69" s="39">
        <f t="shared" si="97"/>
        <v>-1.1533734203321488E-2</v>
      </c>
      <c r="V69" s="17">
        <f t="shared" si="98"/>
        <v>-1.7524045508481995E-3</v>
      </c>
      <c r="W69" s="31">
        <f t="shared" si="99"/>
        <v>0</v>
      </c>
      <c r="X69" s="39">
        <f t="shared" si="100"/>
        <v>0</v>
      </c>
      <c r="Y69" s="16">
        <f t="shared" si="101"/>
        <v>-1.1533734203321488E-2</v>
      </c>
      <c r="Z69" s="39">
        <f t="shared" si="100"/>
        <v>1.3302702467286797E-4</v>
      </c>
      <c r="AA69" s="16">
        <f t="shared" si="102"/>
        <v>-1.7524045508481995E-3</v>
      </c>
      <c r="AB69" s="13">
        <f t="shared" ref="AB69" si="115">AA69^2</f>
        <v>3.0709217098334796E-6</v>
      </c>
      <c r="AC69" s="33">
        <f t="shared" si="104"/>
        <v>0</v>
      </c>
      <c r="AD69" s="39">
        <f t="shared" si="105"/>
        <v>0</v>
      </c>
      <c r="AE69" s="16">
        <f t="shared" si="106"/>
        <v>0</v>
      </c>
      <c r="AF69" s="39">
        <f t="shared" si="107"/>
        <v>0</v>
      </c>
      <c r="AG69" s="16">
        <f t="shared" si="108"/>
        <v>0</v>
      </c>
      <c r="AH69" s="39">
        <f t="shared" si="109"/>
        <v>0</v>
      </c>
      <c r="AI69" s="31">
        <f t="shared" si="110"/>
        <v>1.3978930664345857E-2</v>
      </c>
      <c r="AJ69" s="13">
        <f t="shared" si="111"/>
        <v>9.7813296524733584E-3</v>
      </c>
    </row>
    <row r="70" spans="1:36" x14ac:dyDescent="0.25">
      <c r="A70" s="29">
        <v>42614</v>
      </c>
      <c r="B70" s="12">
        <v>8.5832684857514094E-3</v>
      </c>
      <c r="C70" s="7">
        <v>1.1100000000000099E-2</v>
      </c>
      <c r="D70" s="7">
        <v>9.6060342318711103E-3</v>
      </c>
      <c r="E70" s="13">
        <v>8.0482202379923394E-3</v>
      </c>
      <c r="F70" s="31">
        <f t="shared" si="89"/>
        <v>1.0085832684857514</v>
      </c>
      <c r="G70" s="7">
        <f t="shared" si="89"/>
        <v>1.0111000000000001</v>
      </c>
      <c r="H70" s="7">
        <f t="shared" si="89"/>
        <v>1.0096060342318711</v>
      </c>
      <c r="I70" s="13">
        <f t="shared" si="89"/>
        <v>1.0080482202379923</v>
      </c>
      <c r="J70" s="31">
        <f t="shared" si="112"/>
        <v>1.3661236379847719</v>
      </c>
      <c r="K70" s="7">
        <f>MAX($J$2:J70)</f>
        <v>1.3661236379847719</v>
      </c>
      <c r="L70" s="13">
        <f t="shared" si="90"/>
        <v>0</v>
      </c>
      <c r="M70" s="12">
        <f t="shared" si="113"/>
        <v>2.9179893904306651</v>
      </c>
      <c r="N70" s="7">
        <f>MAX($M$2:M70)</f>
        <v>3.2951724617345266</v>
      </c>
      <c r="O70" s="39">
        <f t="shared" si="91"/>
        <v>-0.11446535065582526</v>
      </c>
      <c r="P70" s="31">
        <f t="shared" si="92"/>
        <v>8.5832684857514094E-3</v>
      </c>
      <c r="Q70" s="13" t="str">
        <f t="shared" si="93"/>
        <v xml:space="preserve"> </v>
      </c>
      <c r="R70" s="31">
        <f t="shared" si="94"/>
        <v>9.6060342318711103E-3</v>
      </c>
      <c r="S70" s="39" t="str">
        <f t="shared" si="95"/>
        <v xml:space="preserve"> </v>
      </c>
      <c r="T70" s="31">
        <f t="shared" si="96"/>
        <v>-2.51673151424869E-3</v>
      </c>
      <c r="U70" s="39">
        <f t="shared" si="97"/>
        <v>-1.4939657681289891E-3</v>
      </c>
      <c r="V70" s="17">
        <f t="shared" si="98"/>
        <v>-3.05177976200776E-3</v>
      </c>
      <c r="W70" s="31">
        <f t="shared" si="99"/>
        <v>-2.51673151424869E-3</v>
      </c>
      <c r="X70" s="39">
        <f t="shared" si="100"/>
        <v>6.3339375148125045E-6</v>
      </c>
      <c r="Y70" s="16">
        <f t="shared" si="101"/>
        <v>-1.4939657681289891E-3</v>
      </c>
      <c r="Z70" s="39">
        <f t="shared" si="100"/>
        <v>2.2319337163412404E-6</v>
      </c>
      <c r="AA70" s="16">
        <f t="shared" si="102"/>
        <v>-3.05177976200776E-3</v>
      </c>
      <c r="AB70" s="13">
        <f t="shared" ref="AB70" si="116">AA70^2</f>
        <v>9.3133597158001397E-6</v>
      </c>
      <c r="AC70" s="33">
        <f t="shared" si="104"/>
        <v>0</v>
      </c>
      <c r="AD70" s="39">
        <f t="shared" si="105"/>
        <v>0</v>
      </c>
      <c r="AE70" s="16">
        <f t="shared" si="106"/>
        <v>0</v>
      </c>
      <c r="AF70" s="39">
        <f t="shared" si="107"/>
        <v>0</v>
      </c>
      <c r="AG70" s="16">
        <f t="shared" si="108"/>
        <v>0</v>
      </c>
      <c r="AH70" s="39">
        <f t="shared" si="109"/>
        <v>0</v>
      </c>
      <c r="AI70" s="31">
        <f t="shared" si="110"/>
        <v>-1.0227657461197026E-3</v>
      </c>
      <c r="AJ70" s="13">
        <f t="shared" si="111"/>
        <v>-1.5578139938787761E-3</v>
      </c>
    </row>
    <row r="71" spans="1:36" x14ac:dyDescent="0.25">
      <c r="A71" s="29">
        <v>42644</v>
      </c>
      <c r="B71" s="12">
        <v>3.5166503259055099E-2</v>
      </c>
      <c r="C71" s="7">
        <v>1.04999999999999E-2</v>
      </c>
      <c r="D71" s="7">
        <v>-3.1676245840040203E-2</v>
      </c>
      <c r="E71" s="13">
        <v>0.112358010519642</v>
      </c>
      <c r="F71" s="31">
        <f t="shared" si="89"/>
        <v>1.0351665032590551</v>
      </c>
      <c r="G71" s="7">
        <f t="shared" si="89"/>
        <v>1.0105</v>
      </c>
      <c r="H71" s="7">
        <f t="shared" si="89"/>
        <v>0.96832375415995975</v>
      </c>
      <c r="I71" s="13">
        <f t="shared" si="89"/>
        <v>1.112358010519642</v>
      </c>
      <c r="J71" s="31">
        <f t="shared" si="112"/>
        <v>1.4141654293522357</v>
      </c>
      <c r="K71" s="7">
        <f>MAX($J$2:J71)</f>
        <v>1.4141654293522357</v>
      </c>
      <c r="L71" s="13">
        <f t="shared" si="90"/>
        <v>0</v>
      </c>
      <c r="M71" s="12">
        <f t="shared" si="113"/>
        <v>2.8255584411407542</v>
      </c>
      <c r="N71" s="7">
        <f>MAX($M$2:M71)</f>
        <v>3.2951724617345266</v>
      </c>
      <c r="O71" s="39">
        <f t="shared" si="91"/>
        <v>-0.14251576390832515</v>
      </c>
      <c r="P71" s="31">
        <f t="shared" si="92"/>
        <v>3.5166503259055099E-2</v>
      </c>
      <c r="Q71" s="13" t="str">
        <f t="shared" si="93"/>
        <v xml:space="preserve"> </v>
      </c>
      <c r="R71" s="31" t="str">
        <f t="shared" si="94"/>
        <v xml:space="preserve"> </v>
      </c>
      <c r="S71" s="39">
        <f t="shared" si="95"/>
        <v>-3.1676245840040203E-2</v>
      </c>
      <c r="T71" s="31">
        <f t="shared" si="96"/>
        <v>2.46665032590552E-2</v>
      </c>
      <c r="U71" s="39">
        <f t="shared" si="97"/>
        <v>-4.2176245840040101E-2</v>
      </c>
      <c r="V71" s="17">
        <f t="shared" si="98"/>
        <v>0.10185801051964211</v>
      </c>
      <c r="W71" s="31">
        <f t="shared" si="99"/>
        <v>0</v>
      </c>
      <c r="X71" s="39">
        <f t="shared" si="100"/>
        <v>0</v>
      </c>
      <c r="Y71" s="16">
        <f t="shared" si="101"/>
        <v>-4.2176245840040101E-2</v>
      </c>
      <c r="Z71" s="39">
        <f t="shared" si="100"/>
        <v>1.7788357131594999E-3</v>
      </c>
      <c r="AA71" s="16">
        <f t="shared" si="102"/>
        <v>0</v>
      </c>
      <c r="AB71" s="13">
        <f t="shared" ref="AB71" si="117">AA71^2</f>
        <v>0</v>
      </c>
      <c r="AC71" s="33">
        <f t="shared" si="104"/>
        <v>0</v>
      </c>
      <c r="AD71" s="39">
        <f t="shared" si="105"/>
        <v>0</v>
      </c>
      <c r="AE71" s="16">
        <f t="shared" si="106"/>
        <v>-3.1676245840040203E-2</v>
      </c>
      <c r="AF71" s="39">
        <f t="shared" si="107"/>
        <v>1.0033845505186643E-3</v>
      </c>
      <c r="AG71" s="16">
        <f t="shared" si="108"/>
        <v>0</v>
      </c>
      <c r="AH71" s="39">
        <f t="shared" si="109"/>
        <v>0</v>
      </c>
      <c r="AI71" s="31">
        <f t="shared" si="110"/>
        <v>6.6842749099095378E-2</v>
      </c>
      <c r="AJ71" s="13">
        <f t="shared" si="111"/>
        <v>0.14403425635968226</v>
      </c>
    </row>
    <row r="72" spans="1:36" x14ac:dyDescent="0.25">
      <c r="A72" s="29">
        <v>42675</v>
      </c>
      <c r="B72" s="12">
        <v>-5.9652440428107304E-3</v>
      </c>
      <c r="C72" s="7">
        <v>1.0399999999999901E-2</v>
      </c>
      <c r="D72" s="7">
        <v>9.1102599061171102E-2</v>
      </c>
      <c r="E72" s="13">
        <v>-4.6499807470157903E-2</v>
      </c>
      <c r="F72" s="31">
        <f t="shared" si="89"/>
        <v>0.99403475595718926</v>
      </c>
      <c r="G72" s="7">
        <f t="shared" si="89"/>
        <v>1.0104</v>
      </c>
      <c r="H72" s="7">
        <f t="shared" si="89"/>
        <v>1.0911025990611711</v>
      </c>
      <c r="I72" s="13">
        <f t="shared" si="89"/>
        <v>0.95350019252984208</v>
      </c>
      <c r="J72" s="31">
        <f t="shared" si="112"/>
        <v>1.4057295874492433</v>
      </c>
      <c r="K72" s="7">
        <f>MAX($J$2:J72)</f>
        <v>1.4141654293522357</v>
      </c>
      <c r="L72" s="13">
        <f t="shared" si="90"/>
        <v>-5.9652440428108007E-3</v>
      </c>
      <c r="M72" s="12">
        <f t="shared" si="113"/>
        <v>3.0829741589279078</v>
      </c>
      <c r="N72" s="7">
        <f>MAX($M$2:M72)</f>
        <v>3.2951724617345266</v>
      </c>
      <c r="O72" s="39">
        <f t="shared" si="91"/>
        <v>-6.4396721346390753E-2</v>
      </c>
      <c r="P72" s="31" t="str">
        <f t="shared" si="92"/>
        <v xml:space="preserve"> </v>
      </c>
      <c r="Q72" s="13">
        <f t="shared" si="93"/>
        <v>-5.9652440428107304E-3</v>
      </c>
      <c r="R72" s="31">
        <f t="shared" si="94"/>
        <v>9.1102599061171102E-2</v>
      </c>
      <c r="S72" s="39" t="str">
        <f t="shared" si="95"/>
        <v xml:space="preserve"> </v>
      </c>
      <c r="T72" s="31">
        <f t="shared" si="96"/>
        <v>-1.6365244042810631E-2</v>
      </c>
      <c r="U72" s="39">
        <f t="shared" si="97"/>
        <v>8.0702599061171207E-2</v>
      </c>
      <c r="V72" s="17">
        <f t="shared" si="98"/>
        <v>-5.6899807470157805E-2</v>
      </c>
      <c r="W72" s="31">
        <f t="shared" si="99"/>
        <v>-1.6365244042810631E-2</v>
      </c>
      <c r="X72" s="39">
        <f t="shared" si="100"/>
        <v>2.6782121258074886E-4</v>
      </c>
      <c r="Y72" s="16">
        <f t="shared" si="101"/>
        <v>0</v>
      </c>
      <c r="Z72" s="39">
        <f t="shared" si="100"/>
        <v>0</v>
      </c>
      <c r="AA72" s="16">
        <f t="shared" si="102"/>
        <v>-5.6899807470157805E-2</v>
      </c>
      <c r="AB72" s="13">
        <f t="shared" ref="AB72" si="118">AA72^2</f>
        <v>3.2375880901410262E-3</v>
      </c>
      <c r="AC72" s="33">
        <f t="shared" si="104"/>
        <v>-5.9652440428107304E-3</v>
      </c>
      <c r="AD72" s="39">
        <f t="shared" si="105"/>
        <v>3.558413649028891E-5</v>
      </c>
      <c r="AE72" s="16">
        <f t="shared" si="106"/>
        <v>0</v>
      </c>
      <c r="AF72" s="39">
        <f t="shared" si="107"/>
        <v>0</v>
      </c>
      <c r="AG72" s="16">
        <f t="shared" si="108"/>
        <v>-4.6499807470157903E-2</v>
      </c>
      <c r="AH72" s="39">
        <f t="shared" si="109"/>
        <v>2.1622320947617527E-3</v>
      </c>
      <c r="AI72" s="31">
        <f t="shared" si="110"/>
        <v>-9.7067843103981866E-2</v>
      </c>
      <c r="AJ72" s="13">
        <f t="shared" si="111"/>
        <v>-0.13760240653132905</v>
      </c>
    </row>
    <row r="73" spans="1:36" x14ac:dyDescent="0.25">
      <c r="A73" s="29">
        <v>42705</v>
      </c>
      <c r="B73" s="12">
        <v>-1.81048612245993E-4</v>
      </c>
      <c r="C73" s="7">
        <v>1.12E-2</v>
      </c>
      <c r="D73" s="7">
        <v>-4.8093786212849397E-2</v>
      </c>
      <c r="E73" s="13">
        <v>-2.7121765257002599E-2</v>
      </c>
      <c r="F73" s="31">
        <f t="shared" si="89"/>
        <v>0.99981895138775401</v>
      </c>
      <c r="G73" s="7">
        <f t="shared" si="89"/>
        <v>1.0112000000000001</v>
      </c>
      <c r="H73" s="7">
        <f t="shared" si="89"/>
        <v>0.95190621378715057</v>
      </c>
      <c r="I73" s="13">
        <f t="shared" si="89"/>
        <v>0.97287823474299739</v>
      </c>
      <c r="J73" s="31">
        <f t="shared" si="112"/>
        <v>1.4054750820582425</v>
      </c>
      <c r="K73" s="7">
        <f>MAX($J$2:J73)</f>
        <v>1.4141654293522357</v>
      </c>
      <c r="L73" s="13">
        <f t="shared" si="90"/>
        <v>-6.1452126559011239E-3</v>
      </c>
      <c r="M73" s="12">
        <f t="shared" si="113"/>
        <v>2.9347022588286897</v>
      </c>
      <c r="N73" s="7">
        <f>MAX($M$2:M73)</f>
        <v>3.2951724617345266</v>
      </c>
      <c r="O73" s="39">
        <f t="shared" si="91"/>
        <v>-0.10939342540999844</v>
      </c>
      <c r="P73" s="31" t="str">
        <f t="shared" si="92"/>
        <v xml:space="preserve"> </v>
      </c>
      <c r="Q73" s="13">
        <f t="shared" si="93"/>
        <v>-1.81048612245993E-4</v>
      </c>
      <c r="R73" s="31" t="str">
        <f t="shared" si="94"/>
        <v xml:space="preserve"> </v>
      </c>
      <c r="S73" s="39">
        <f t="shared" si="95"/>
        <v>-4.8093786212849397E-2</v>
      </c>
      <c r="T73" s="31">
        <f t="shared" si="96"/>
        <v>-1.1381048612245993E-2</v>
      </c>
      <c r="U73" s="39">
        <f t="shared" si="97"/>
        <v>-5.9293786212849399E-2</v>
      </c>
      <c r="V73" s="17">
        <f t="shared" si="98"/>
        <v>-3.83217652570026E-2</v>
      </c>
      <c r="W73" s="31">
        <f t="shared" si="99"/>
        <v>-1.1381048612245993E-2</v>
      </c>
      <c r="X73" s="39">
        <f t="shared" si="100"/>
        <v>1.2952826751430645E-4</v>
      </c>
      <c r="Y73" s="16">
        <f t="shared" si="101"/>
        <v>-5.9293786212849399E-2</v>
      </c>
      <c r="Z73" s="39">
        <f t="shared" si="100"/>
        <v>3.5157530834550896E-3</v>
      </c>
      <c r="AA73" s="16">
        <f t="shared" si="102"/>
        <v>-3.83217652570026E-2</v>
      </c>
      <c r="AB73" s="13">
        <f t="shared" ref="AB73" si="119">AA73^2</f>
        <v>1.4685576924128117E-3</v>
      </c>
      <c r="AC73" s="33">
        <f t="shared" si="104"/>
        <v>-1.81048612245993E-4</v>
      </c>
      <c r="AD73" s="39">
        <f t="shared" si="105"/>
        <v>3.2778599996199929E-8</v>
      </c>
      <c r="AE73" s="16">
        <f t="shared" si="106"/>
        <v>-4.8093786212849397E-2</v>
      </c>
      <c r="AF73" s="39">
        <f t="shared" si="107"/>
        <v>2.3130122722872628E-3</v>
      </c>
      <c r="AG73" s="16">
        <f t="shared" si="108"/>
        <v>-2.7121765257002599E-2</v>
      </c>
      <c r="AH73" s="39">
        <f t="shared" si="109"/>
        <v>7.3559015065595326E-4</v>
      </c>
      <c r="AI73" s="31">
        <f t="shared" si="110"/>
        <v>4.7912737600603439E-2</v>
      </c>
      <c r="AJ73" s="13">
        <f t="shared" si="111"/>
        <v>2.0972020955846826E-2</v>
      </c>
    </row>
    <row r="74" spans="1:36" x14ac:dyDescent="0.25">
      <c r="A74" s="29">
        <v>42736</v>
      </c>
      <c r="B74" s="12">
        <v>2.5633923135516899E-2</v>
      </c>
      <c r="C74" s="7">
        <v>1.07999999999999E-2</v>
      </c>
      <c r="D74" s="7">
        <v>-3.0531028435326602E-3</v>
      </c>
      <c r="E74" s="13">
        <v>7.3787503943414101E-2</v>
      </c>
      <c r="F74" s="31">
        <f t="shared" si="89"/>
        <v>1.0256339231355169</v>
      </c>
      <c r="G74" s="7">
        <f t="shared" si="89"/>
        <v>1.0107999999999999</v>
      </c>
      <c r="H74" s="7">
        <f t="shared" si="89"/>
        <v>0.99694689715646734</v>
      </c>
      <c r="I74" s="13">
        <f t="shared" si="89"/>
        <v>1.0737875039434142</v>
      </c>
      <c r="J74" s="31">
        <f t="shared" si="112"/>
        <v>1.4415029222806077</v>
      </c>
      <c r="K74" s="7">
        <f>MAX($J$2:J74)</f>
        <v>1.4415029222806077</v>
      </c>
      <c r="L74" s="13">
        <f t="shared" si="90"/>
        <v>0</v>
      </c>
      <c r="M74" s="12">
        <f t="shared" si="113"/>
        <v>2.9257423110173382</v>
      </c>
      <c r="N74" s="7">
        <f>MAX($M$2:M74)</f>
        <v>3.2951724617345266</v>
      </c>
      <c r="O74" s="39">
        <f t="shared" si="91"/>
        <v>-0.11211253887534804</v>
      </c>
      <c r="P74" s="31">
        <f t="shared" si="92"/>
        <v>2.5633923135516899E-2</v>
      </c>
      <c r="Q74" s="13" t="str">
        <f t="shared" si="93"/>
        <v xml:space="preserve"> </v>
      </c>
      <c r="R74" s="31" t="str">
        <f t="shared" si="94"/>
        <v xml:space="preserve"> </v>
      </c>
      <c r="S74" s="39">
        <f t="shared" si="95"/>
        <v>-3.0531028435326602E-3</v>
      </c>
      <c r="T74" s="31">
        <f t="shared" si="96"/>
        <v>1.4833923135516999E-2</v>
      </c>
      <c r="U74" s="39">
        <f t="shared" si="97"/>
        <v>-1.3853102843532561E-2</v>
      </c>
      <c r="V74" s="17">
        <f t="shared" si="98"/>
        <v>6.2987503943414208E-2</v>
      </c>
      <c r="W74" s="31">
        <f t="shared" si="99"/>
        <v>0</v>
      </c>
      <c r="X74" s="39">
        <f t="shared" si="100"/>
        <v>0</v>
      </c>
      <c r="Y74" s="16">
        <f t="shared" si="101"/>
        <v>-1.3853102843532561E-2</v>
      </c>
      <c r="Z74" s="39">
        <f t="shared" si="100"/>
        <v>1.9190845839348991E-4</v>
      </c>
      <c r="AA74" s="16">
        <f t="shared" si="102"/>
        <v>0</v>
      </c>
      <c r="AB74" s="13">
        <f t="shared" ref="AB74" si="120">AA74^2</f>
        <v>0</v>
      </c>
      <c r="AC74" s="33">
        <f t="shared" si="104"/>
        <v>0</v>
      </c>
      <c r="AD74" s="39">
        <f t="shared" si="105"/>
        <v>0</v>
      </c>
      <c r="AE74" s="16">
        <f t="shared" si="106"/>
        <v>-3.0531028435326602E-3</v>
      </c>
      <c r="AF74" s="39">
        <f t="shared" si="107"/>
        <v>9.3214369731872159E-6</v>
      </c>
      <c r="AG74" s="16">
        <f t="shared" si="108"/>
        <v>0</v>
      </c>
      <c r="AH74" s="39">
        <f t="shared" si="109"/>
        <v>0</v>
      </c>
      <c r="AI74" s="31">
        <f t="shared" si="110"/>
        <v>2.8687025979049596E-2</v>
      </c>
      <c r="AJ74" s="13">
        <f t="shared" si="111"/>
        <v>7.6840606786946819E-2</v>
      </c>
    </row>
    <row r="75" spans="1:36" x14ac:dyDescent="0.25">
      <c r="A75" s="29">
        <v>42767</v>
      </c>
      <c r="B75" s="12">
        <v>3.0810265893216299E-2</v>
      </c>
      <c r="C75" s="7">
        <v>8.5999999999999393E-3</v>
      </c>
      <c r="D75" s="7">
        <v>2.02609382812684E-2</v>
      </c>
      <c r="E75" s="13">
        <v>3.0786596774442902E-2</v>
      </c>
      <c r="F75" s="31">
        <f t="shared" si="89"/>
        <v>1.0308102658932163</v>
      </c>
      <c r="G75" s="7">
        <f t="shared" si="89"/>
        <v>1.0085999999999999</v>
      </c>
      <c r="H75" s="7">
        <f t="shared" si="89"/>
        <v>1.0202609382812684</v>
      </c>
      <c r="I75" s="13">
        <f t="shared" si="89"/>
        <v>1.030786596774443</v>
      </c>
      <c r="J75" s="31">
        <f t="shared" si="112"/>
        <v>1.4859160106019216</v>
      </c>
      <c r="K75" s="7">
        <f>MAX($J$2:J75)</f>
        <v>1.4859160106019216</v>
      </c>
      <c r="L75" s="13">
        <f t="shared" si="90"/>
        <v>0</v>
      </c>
      <c r="M75" s="12">
        <f t="shared" si="113"/>
        <v>2.985020595407756</v>
      </c>
      <c r="N75" s="7">
        <f>MAX($M$2:M75)</f>
        <v>3.2951724617345266</v>
      </c>
      <c r="O75" s="39">
        <f t="shared" si="91"/>
        <v>-9.4123105824789388E-2</v>
      </c>
      <c r="P75" s="31">
        <f t="shared" si="92"/>
        <v>3.0810265893216299E-2</v>
      </c>
      <c r="Q75" s="13" t="str">
        <f t="shared" si="93"/>
        <v xml:space="preserve"> </v>
      </c>
      <c r="R75" s="31">
        <f t="shared" si="94"/>
        <v>2.02609382812684E-2</v>
      </c>
      <c r="S75" s="39" t="str">
        <f t="shared" si="95"/>
        <v xml:space="preserve"> </v>
      </c>
      <c r="T75" s="31">
        <f t="shared" si="96"/>
        <v>2.2210265893216362E-2</v>
      </c>
      <c r="U75" s="39">
        <f t="shared" si="97"/>
        <v>1.1660938281268461E-2</v>
      </c>
      <c r="V75" s="17">
        <f t="shared" si="98"/>
        <v>2.2186596774442964E-2</v>
      </c>
      <c r="W75" s="31">
        <f t="shared" si="99"/>
        <v>0</v>
      </c>
      <c r="X75" s="39">
        <f t="shared" si="100"/>
        <v>0</v>
      </c>
      <c r="Y75" s="16">
        <f t="shared" si="101"/>
        <v>0</v>
      </c>
      <c r="Z75" s="39">
        <f t="shared" si="100"/>
        <v>0</v>
      </c>
      <c r="AA75" s="16">
        <f t="shared" si="102"/>
        <v>0</v>
      </c>
      <c r="AB75" s="13">
        <f t="shared" ref="AB75" si="121">AA75^2</f>
        <v>0</v>
      </c>
      <c r="AC75" s="33">
        <f t="shared" si="104"/>
        <v>0</v>
      </c>
      <c r="AD75" s="39">
        <f t="shared" si="105"/>
        <v>0</v>
      </c>
      <c r="AE75" s="16">
        <f t="shared" si="106"/>
        <v>0</v>
      </c>
      <c r="AF75" s="39">
        <f t="shared" si="107"/>
        <v>0</v>
      </c>
      <c r="AG75" s="16">
        <f t="shared" si="108"/>
        <v>0</v>
      </c>
      <c r="AH75" s="39">
        <f t="shared" si="109"/>
        <v>0</v>
      </c>
      <c r="AI75" s="31">
        <f t="shared" si="110"/>
        <v>1.0549327611947934E-2</v>
      </c>
      <c r="AJ75" s="13">
        <f t="shared" si="111"/>
        <v>1.052565849317455E-2</v>
      </c>
    </row>
    <row r="76" spans="1:36" x14ac:dyDescent="0.25">
      <c r="A76" s="29">
        <v>42795</v>
      </c>
      <c r="B76" s="12">
        <v>-7.4606318863773497E-3</v>
      </c>
      <c r="C76" s="7">
        <v>1.04999999999999E-2</v>
      </c>
      <c r="D76" s="7">
        <v>2.46519486948777E-2</v>
      </c>
      <c r="E76" s="13">
        <v>-2.5171762023341499E-2</v>
      </c>
      <c r="F76" s="31">
        <f t="shared" si="89"/>
        <v>0.99253936811362264</v>
      </c>
      <c r="G76" s="7">
        <f t="shared" si="89"/>
        <v>1.0105</v>
      </c>
      <c r="H76" s="7">
        <f t="shared" si="89"/>
        <v>1.0246519486948777</v>
      </c>
      <c r="I76" s="13">
        <f t="shared" si="89"/>
        <v>0.97482823797665852</v>
      </c>
      <c r="J76" s="31">
        <f t="shared" si="112"/>
        <v>1.4748301382327462</v>
      </c>
      <c r="K76" s="7">
        <f>MAX($J$2:J76)</f>
        <v>1.4859160106019216</v>
      </c>
      <c r="L76" s="13">
        <f t="shared" si="90"/>
        <v>-7.4606318863773722E-3</v>
      </c>
      <c r="M76" s="12">
        <f t="shared" si="113"/>
        <v>3.0586071699789015</v>
      </c>
      <c r="N76" s="7">
        <f>MAX($M$2:M76)</f>
        <v>3.2951724617345266</v>
      </c>
      <c r="O76" s="39">
        <f t="shared" si="91"/>
        <v>-7.1791475105706881E-2</v>
      </c>
      <c r="P76" s="31" t="str">
        <f t="shared" si="92"/>
        <v xml:space="preserve"> </v>
      </c>
      <c r="Q76" s="13">
        <f t="shared" si="93"/>
        <v>-7.4606318863773497E-3</v>
      </c>
      <c r="R76" s="31">
        <f t="shared" si="94"/>
        <v>2.46519486948777E-2</v>
      </c>
      <c r="S76" s="39" t="str">
        <f t="shared" si="95"/>
        <v xml:space="preserve"> </v>
      </c>
      <c r="T76" s="31">
        <f t="shared" si="96"/>
        <v>-1.7960631886377251E-2</v>
      </c>
      <c r="U76" s="39">
        <f t="shared" si="97"/>
        <v>1.41519486948778E-2</v>
      </c>
      <c r="V76" s="17">
        <f t="shared" si="98"/>
        <v>-3.5671762023341401E-2</v>
      </c>
      <c r="W76" s="31">
        <f t="shared" si="99"/>
        <v>-1.7960631886377251E-2</v>
      </c>
      <c r="X76" s="39">
        <f t="shared" si="100"/>
        <v>3.2258429775795122E-4</v>
      </c>
      <c r="Y76" s="16">
        <f t="shared" si="101"/>
        <v>0</v>
      </c>
      <c r="Z76" s="39">
        <f t="shared" si="100"/>
        <v>0</v>
      </c>
      <c r="AA76" s="16">
        <f t="shared" si="102"/>
        <v>-3.5671762023341401E-2</v>
      </c>
      <c r="AB76" s="13">
        <f t="shared" ref="AB76" si="122">AA76^2</f>
        <v>1.2724746058499017E-3</v>
      </c>
      <c r="AC76" s="33">
        <f t="shared" si="104"/>
        <v>-7.4606318863773497E-3</v>
      </c>
      <c r="AD76" s="39">
        <f t="shared" si="105"/>
        <v>5.5661028144030449E-5</v>
      </c>
      <c r="AE76" s="16">
        <f t="shared" si="106"/>
        <v>0</v>
      </c>
      <c r="AF76" s="39">
        <f t="shared" si="107"/>
        <v>0</v>
      </c>
      <c r="AG76" s="16">
        <f t="shared" si="108"/>
        <v>-2.5171762023341499E-2</v>
      </c>
      <c r="AH76" s="39">
        <f t="shared" si="109"/>
        <v>6.3361760335973734E-4</v>
      </c>
      <c r="AI76" s="31">
        <f t="shared" si="110"/>
        <v>-3.2112580581255101E-2</v>
      </c>
      <c r="AJ76" s="13">
        <f t="shared" si="111"/>
        <v>-4.9823710718219227E-2</v>
      </c>
    </row>
    <row r="77" spans="1:36" x14ac:dyDescent="0.25">
      <c r="A77" s="29">
        <v>42826</v>
      </c>
      <c r="B77" s="12">
        <v>1.7742906563604701E-3</v>
      </c>
      <c r="C77" s="7">
        <v>7.9000000000000094E-3</v>
      </c>
      <c r="D77" s="7">
        <v>2.9393479156606599E-2</v>
      </c>
      <c r="E77" s="13">
        <v>6.4477409823957502E-3</v>
      </c>
      <c r="F77" s="31">
        <f t="shared" si="89"/>
        <v>1.0017742906563605</v>
      </c>
      <c r="G77" s="7">
        <f t="shared" si="89"/>
        <v>1.0079</v>
      </c>
      <c r="H77" s="7">
        <f t="shared" si="89"/>
        <v>1.0293934791566066</v>
      </c>
      <c r="I77" s="13">
        <f t="shared" si="89"/>
        <v>1.0064477409823958</v>
      </c>
      <c r="J77" s="31">
        <f t="shared" si="112"/>
        <v>1.4774469155667314</v>
      </c>
      <c r="K77" s="7">
        <f>MAX($J$2:J77)</f>
        <v>1.4859160106019216</v>
      </c>
      <c r="L77" s="13">
        <f t="shared" si="90"/>
        <v>-5.6995785594634802E-3</v>
      </c>
      <c r="M77" s="12">
        <f t="shared" si="113"/>
        <v>3.148510276077924</v>
      </c>
      <c r="N77" s="7">
        <f>MAX($M$2:M77)</f>
        <v>3.2951724617345266</v>
      </c>
      <c r="O77" s="39">
        <f t="shared" si="91"/>
        <v>-4.4508197176241861E-2</v>
      </c>
      <c r="P77" s="31">
        <f t="shared" si="92"/>
        <v>1.7742906563604701E-3</v>
      </c>
      <c r="Q77" s="13" t="str">
        <f t="shared" si="93"/>
        <v xml:space="preserve"> </v>
      </c>
      <c r="R77" s="31">
        <f t="shared" si="94"/>
        <v>2.9393479156606599E-2</v>
      </c>
      <c r="S77" s="39" t="str">
        <f t="shared" si="95"/>
        <v xml:space="preserve"> </v>
      </c>
      <c r="T77" s="31">
        <f t="shared" si="96"/>
        <v>-6.1257093436395396E-3</v>
      </c>
      <c r="U77" s="39">
        <f t="shared" si="97"/>
        <v>2.1493479156606592E-2</v>
      </c>
      <c r="V77" s="17">
        <f t="shared" si="98"/>
        <v>-1.4522590176042592E-3</v>
      </c>
      <c r="W77" s="31">
        <f t="shared" si="99"/>
        <v>-6.1257093436395396E-3</v>
      </c>
      <c r="X77" s="39">
        <f t="shared" si="100"/>
        <v>3.752431496275276E-5</v>
      </c>
      <c r="Y77" s="16">
        <f t="shared" si="101"/>
        <v>0</v>
      </c>
      <c r="Z77" s="39">
        <f t="shared" si="100"/>
        <v>0</v>
      </c>
      <c r="AA77" s="16">
        <f t="shared" si="102"/>
        <v>-1.4522590176042592E-3</v>
      </c>
      <c r="AB77" s="13">
        <f t="shared" ref="AB77" si="123">AA77^2</f>
        <v>2.1090562542128879E-6</v>
      </c>
      <c r="AC77" s="33">
        <f t="shared" si="104"/>
        <v>0</v>
      </c>
      <c r="AD77" s="39">
        <f t="shared" si="105"/>
        <v>0</v>
      </c>
      <c r="AE77" s="16">
        <f t="shared" si="106"/>
        <v>0</v>
      </c>
      <c r="AF77" s="39">
        <f t="shared" si="107"/>
        <v>0</v>
      </c>
      <c r="AG77" s="16">
        <f t="shared" si="108"/>
        <v>0</v>
      </c>
      <c r="AH77" s="39">
        <f t="shared" si="109"/>
        <v>0</v>
      </c>
      <c r="AI77" s="31">
        <f t="shared" si="110"/>
        <v>-2.7619188500246139E-2</v>
      </c>
      <c r="AJ77" s="13">
        <f t="shared" si="111"/>
        <v>-2.2945738174210861E-2</v>
      </c>
    </row>
    <row r="78" spans="1:36" x14ac:dyDescent="0.25">
      <c r="A78" s="29">
        <v>42856</v>
      </c>
      <c r="B78" s="12">
        <v>-2.2026978511068E-2</v>
      </c>
      <c r="C78" s="7">
        <v>9.3000000000000808E-3</v>
      </c>
      <c r="D78" s="7">
        <v>4.51731090821176E-2</v>
      </c>
      <c r="E78" s="13">
        <v>-4.1160191428527698E-2</v>
      </c>
      <c r="F78" s="31">
        <f t="shared" si="89"/>
        <v>0.97797302148893195</v>
      </c>
      <c r="G78" s="7">
        <f t="shared" si="89"/>
        <v>1.0093000000000001</v>
      </c>
      <c r="H78" s="7">
        <f t="shared" si="89"/>
        <v>1.0451731090821177</v>
      </c>
      <c r="I78" s="13">
        <f t="shared" si="89"/>
        <v>0.95883980857147233</v>
      </c>
      <c r="J78" s="31">
        <f t="shared" si="112"/>
        <v>1.4449032241062991</v>
      </c>
      <c r="K78" s="7">
        <f>MAX($J$2:J78)</f>
        <v>1.4859160106019216</v>
      </c>
      <c r="L78" s="13">
        <f t="shared" si="90"/>
        <v>-2.7601012576080133E-2</v>
      </c>
      <c r="M78" s="12">
        <f t="shared" si="113"/>
        <v>3.2907382742253604</v>
      </c>
      <c r="N78" s="7">
        <f>MAX($M$2:M78)</f>
        <v>3.2951724617345266</v>
      </c>
      <c r="O78" s="39">
        <f t="shared" si="91"/>
        <v>-1.3456617402150045E-3</v>
      </c>
      <c r="P78" s="31" t="str">
        <f t="shared" si="92"/>
        <v xml:space="preserve"> </v>
      </c>
      <c r="Q78" s="13">
        <f t="shared" si="93"/>
        <v>-2.2026978511068E-2</v>
      </c>
      <c r="R78" s="31">
        <f t="shared" si="94"/>
        <v>4.51731090821176E-2</v>
      </c>
      <c r="S78" s="39" t="str">
        <f t="shared" si="95"/>
        <v xml:space="preserve"> </v>
      </c>
      <c r="T78" s="31">
        <f t="shared" si="96"/>
        <v>-3.1326978511068082E-2</v>
      </c>
      <c r="U78" s="39">
        <f t="shared" si="97"/>
        <v>3.5873109082117521E-2</v>
      </c>
      <c r="V78" s="17">
        <f t="shared" si="98"/>
        <v>-5.0460191428527777E-2</v>
      </c>
      <c r="W78" s="31">
        <f t="shared" si="99"/>
        <v>-3.1326978511068082E-2</v>
      </c>
      <c r="X78" s="39">
        <f t="shared" si="100"/>
        <v>9.813795826329214E-4</v>
      </c>
      <c r="Y78" s="16">
        <f t="shared" si="101"/>
        <v>0</v>
      </c>
      <c r="Z78" s="39">
        <f t="shared" si="100"/>
        <v>0</v>
      </c>
      <c r="AA78" s="16">
        <f t="shared" si="102"/>
        <v>-5.0460191428527777E-2</v>
      </c>
      <c r="AB78" s="13">
        <f t="shared" ref="AB78" si="124">AA78^2</f>
        <v>2.5462309190036683E-3</v>
      </c>
      <c r="AC78" s="33">
        <f t="shared" si="104"/>
        <v>-2.2026978511068E-2</v>
      </c>
      <c r="AD78" s="39">
        <f t="shared" si="105"/>
        <v>4.8518778232705144E-4</v>
      </c>
      <c r="AE78" s="16">
        <f t="shared" si="106"/>
        <v>0</v>
      </c>
      <c r="AF78" s="39">
        <f t="shared" si="107"/>
        <v>0</v>
      </c>
      <c r="AG78" s="16">
        <f t="shared" si="108"/>
        <v>-4.1160191428527698E-2</v>
      </c>
      <c r="AH78" s="39">
        <f t="shared" si="109"/>
        <v>1.694161358433045E-3</v>
      </c>
      <c r="AI78" s="31">
        <f t="shared" si="110"/>
        <v>-6.7200087593185742E-2</v>
      </c>
      <c r="AJ78" s="13">
        <f t="shared" si="111"/>
        <v>-8.6333300510645361E-2</v>
      </c>
    </row>
    <row r="79" spans="1:36" x14ac:dyDescent="0.25">
      <c r="A79" s="29">
        <v>42887</v>
      </c>
      <c r="B79" s="12">
        <v>1.7328111785648002E-2</v>
      </c>
      <c r="C79" s="7">
        <v>8.0999999999999892E-3</v>
      </c>
      <c r="D79" s="7">
        <v>1.36803192824708E-2</v>
      </c>
      <c r="E79" s="13">
        <v>3.0138253257003798E-3</v>
      </c>
      <c r="F79" s="31">
        <f t="shared" si="89"/>
        <v>1.0173281117856481</v>
      </c>
      <c r="G79" s="7">
        <f t="shared" si="89"/>
        <v>1.0081</v>
      </c>
      <c r="H79" s="7">
        <f t="shared" si="89"/>
        <v>1.0136803192824708</v>
      </c>
      <c r="I79" s="13">
        <f t="shared" si="89"/>
        <v>1.0030138253257004</v>
      </c>
      <c r="J79" s="31">
        <f t="shared" si="112"/>
        <v>1.4699406686930563</v>
      </c>
      <c r="K79" s="7">
        <f>MAX($J$2:J79)</f>
        <v>1.4859160106019216</v>
      </c>
      <c r="L79" s="13">
        <f t="shared" si="90"/>
        <v>-1.0751174221747518E-2</v>
      </c>
      <c r="M79" s="12">
        <f t="shared" si="113"/>
        <v>3.3357566244918102</v>
      </c>
      <c r="N79" s="7">
        <f>MAX($M$2:M79)</f>
        <v>3.3357566244918102</v>
      </c>
      <c r="O79" s="39">
        <f t="shared" si="91"/>
        <v>0</v>
      </c>
      <c r="P79" s="31">
        <f t="shared" si="92"/>
        <v>1.7328111785648002E-2</v>
      </c>
      <c r="Q79" s="13" t="str">
        <f t="shared" si="93"/>
        <v xml:space="preserve"> </v>
      </c>
      <c r="R79" s="31">
        <f t="shared" si="94"/>
        <v>1.36803192824708E-2</v>
      </c>
      <c r="S79" s="39" t="str">
        <f t="shared" si="95"/>
        <v xml:space="preserve"> </v>
      </c>
      <c r="T79" s="31">
        <f t="shared" si="96"/>
        <v>9.2281117856480126E-3</v>
      </c>
      <c r="U79" s="39">
        <f t="shared" si="97"/>
        <v>5.5803192824708109E-3</v>
      </c>
      <c r="V79" s="17">
        <f t="shared" si="98"/>
        <v>-5.0861746742996098E-3</v>
      </c>
      <c r="W79" s="31">
        <f t="shared" si="99"/>
        <v>0</v>
      </c>
      <c r="X79" s="39">
        <f t="shared" si="100"/>
        <v>0</v>
      </c>
      <c r="Y79" s="16">
        <f t="shared" si="101"/>
        <v>0</v>
      </c>
      <c r="Z79" s="39">
        <f t="shared" si="100"/>
        <v>0</v>
      </c>
      <c r="AA79" s="16">
        <f t="shared" si="102"/>
        <v>-5.0861746742996098E-3</v>
      </c>
      <c r="AB79" s="13">
        <f t="shared" ref="AB79" si="125">AA79^2</f>
        <v>2.586917281748674E-5</v>
      </c>
      <c r="AC79" s="33">
        <f t="shared" si="104"/>
        <v>0</v>
      </c>
      <c r="AD79" s="39">
        <f t="shared" si="105"/>
        <v>0</v>
      </c>
      <c r="AE79" s="16">
        <f t="shared" si="106"/>
        <v>0</v>
      </c>
      <c r="AF79" s="39">
        <f t="shared" si="107"/>
        <v>0</v>
      </c>
      <c r="AG79" s="16">
        <f t="shared" si="108"/>
        <v>0</v>
      </c>
      <c r="AH79" s="39">
        <f t="shared" si="109"/>
        <v>0</v>
      </c>
      <c r="AI79" s="31">
        <f t="shared" si="110"/>
        <v>3.6477925031772607E-3</v>
      </c>
      <c r="AJ79" s="13">
        <f t="shared" si="111"/>
        <v>-1.066649395677044E-2</v>
      </c>
    </row>
    <row r="80" spans="1:36" x14ac:dyDescent="0.25">
      <c r="A80" s="29">
        <v>42917</v>
      </c>
      <c r="B80" s="12">
        <v>2.94684667147324E-2</v>
      </c>
      <c r="C80" s="7">
        <v>8.0000000000000002E-3</v>
      </c>
      <c r="D80" s="7">
        <v>-5.5211761758974199E-3</v>
      </c>
      <c r="E80" s="13">
        <v>4.8012718600953699E-2</v>
      </c>
      <c r="F80" s="31">
        <f t="shared" si="89"/>
        <v>1.0294684667147325</v>
      </c>
      <c r="G80" s="7">
        <f t="shared" si="89"/>
        <v>1.008</v>
      </c>
      <c r="H80" s="7">
        <f t="shared" si="89"/>
        <v>0.99447882382410258</v>
      </c>
      <c r="I80" s="13">
        <f t="shared" si="89"/>
        <v>1.0480127186009538</v>
      </c>
      <c r="J80" s="31">
        <f t="shared" si="112"/>
        <v>1.5132575663610692</v>
      </c>
      <c r="K80" s="7">
        <f>MAX($J$2:J80)</f>
        <v>1.5132575663610692</v>
      </c>
      <c r="L80" s="13">
        <f t="shared" si="90"/>
        <v>0</v>
      </c>
      <c r="M80" s="12">
        <f t="shared" si="113"/>
        <v>3.3173393244880742</v>
      </c>
      <c r="N80" s="7">
        <f>MAX($M$2:M80)</f>
        <v>3.3357566244918102</v>
      </c>
      <c r="O80" s="39">
        <f t="shared" si="91"/>
        <v>-5.5211761758973609E-3</v>
      </c>
      <c r="P80" s="31">
        <f t="shared" si="92"/>
        <v>2.94684667147324E-2</v>
      </c>
      <c r="Q80" s="13" t="str">
        <f t="shared" si="93"/>
        <v xml:space="preserve"> </v>
      </c>
      <c r="R80" s="31" t="str">
        <f t="shared" si="94"/>
        <v xml:space="preserve"> </v>
      </c>
      <c r="S80" s="39">
        <f t="shared" si="95"/>
        <v>-5.5211761758974199E-3</v>
      </c>
      <c r="T80" s="31">
        <f t="shared" si="96"/>
        <v>2.14684667147324E-2</v>
      </c>
      <c r="U80" s="39">
        <f t="shared" si="97"/>
        <v>-1.3521176175897421E-2</v>
      </c>
      <c r="V80" s="17">
        <f t="shared" si="98"/>
        <v>4.0012718600953699E-2</v>
      </c>
      <c r="W80" s="31">
        <f t="shared" si="99"/>
        <v>0</v>
      </c>
      <c r="X80" s="39">
        <f t="shared" si="100"/>
        <v>0</v>
      </c>
      <c r="Y80" s="16">
        <f t="shared" si="101"/>
        <v>-1.3521176175897421E-2</v>
      </c>
      <c r="Z80" s="39">
        <f t="shared" si="100"/>
        <v>1.82822205179656E-4</v>
      </c>
      <c r="AA80" s="16">
        <f t="shared" si="102"/>
        <v>0</v>
      </c>
      <c r="AB80" s="13">
        <f t="shared" ref="AB80" si="126">AA80^2</f>
        <v>0</v>
      </c>
      <c r="AC80" s="33">
        <f t="shared" si="104"/>
        <v>0</v>
      </c>
      <c r="AD80" s="39">
        <f t="shared" si="105"/>
        <v>0</v>
      </c>
      <c r="AE80" s="16">
        <f t="shared" si="106"/>
        <v>-5.5211761758974199E-3</v>
      </c>
      <c r="AF80" s="39">
        <f t="shared" si="107"/>
        <v>3.0483386365297258E-5</v>
      </c>
      <c r="AG80" s="16">
        <f t="shared" si="108"/>
        <v>0</v>
      </c>
      <c r="AH80" s="39">
        <f t="shared" si="109"/>
        <v>0</v>
      </c>
      <c r="AI80" s="31">
        <f t="shared" si="110"/>
        <v>3.4989642890629891E-2</v>
      </c>
      <c r="AJ80" s="13">
        <f t="shared" si="111"/>
        <v>5.3533894776851221E-2</v>
      </c>
    </row>
    <row r="81" spans="1:36" x14ac:dyDescent="0.25">
      <c r="A81" s="29">
        <v>42948</v>
      </c>
      <c r="B81" s="12">
        <v>2.9886096205770301E-2</v>
      </c>
      <c r="C81" s="7">
        <v>8.0000000000000002E-3</v>
      </c>
      <c r="D81" s="7">
        <v>-1.78929292989793E-3</v>
      </c>
      <c r="E81" s="13">
        <v>7.4560072815534006E-2</v>
      </c>
      <c r="F81" s="31">
        <f t="shared" si="89"/>
        <v>1.0298860962057703</v>
      </c>
      <c r="G81" s="7">
        <f t="shared" si="89"/>
        <v>1.008</v>
      </c>
      <c r="H81" s="7">
        <f t="shared" si="89"/>
        <v>0.99821070707010207</v>
      </c>
      <c r="I81" s="13">
        <f t="shared" si="89"/>
        <v>1.074560072815534</v>
      </c>
      <c r="J81" s="31">
        <f t="shared" si="112"/>
        <v>1.558482927573446</v>
      </c>
      <c r="K81" s="7">
        <f>MAX($J$2:J81)</f>
        <v>1.558482927573446</v>
      </c>
      <c r="L81" s="13">
        <f t="shared" si="90"/>
        <v>0</v>
      </c>
      <c r="M81" s="12">
        <f t="shared" si="113"/>
        <v>3.3114036326886955</v>
      </c>
      <c r="N81" s="7">
        <f>MAX($M$2:M81)</f>
        <v>3.3357566244918102</v>
      </c>
      <c r="O81" s="39">
        <f t="shared" si="91"/>
        <v>-7.3005901042989792E-3</v>
      </c>
      <c r="P81" s="31">
        <f t="shared" si="92"/>
        <v>2.9886096205770301E-2</v>
      </c>
      <c r="Q81" s="13" t="str">
        <f t="shared" si="93"/>
        <v xml:space="preserve"> </v>
      </c>
      <c r="R81" s="31" t="str">
        <f t="shared" si="94"/>
        <v xml:space="preserve"> </v>
      </c>
      <c r="S81" s="39">
        <f t="shared" si="95"/>
        <v>-1.78929292989793E-3</v>
      </c>
      <c r="T81" s="31">
        <f t="shared" si="96"/>
        <v>2.1886096205770301E-2</v>
      </c>
      <c r="U81" s="39">
        <f t="shared" si="97"/>
        <v>-9.789292929897931E-3</v>
      </c>
      <c r="V81" s="17">
        <f t="shared" si="98"/>
        <v>6.6560072815533999E-2</v>
      </c>
      <c r="W81" s="31">
        <f t="shared" si="99"/>
        <v>0</v>
      </c>
      <c r="X81" s="39">
        <f t="shared" si="100"/>
        <v>0</v>
      </c>
      <c r="Y81" s="16">
        <f t="shared" si="101"/>
        <v>-9.789292929897931E-3</v>
      </c>
      <c r="Z81" s="39">
        <f t="shared" si="100"/>
        <v>9.5830256067349625E-5</v>
      </c>
      <c r="AA81" s="16">
        <f t="shared" si="102"/>
        <v>0</v>
      </c>
      <c r="AB81" s="13">
        <f t="shared" ref="AB81" si="127">AA81^2</f>
        <v>0</v>
      </c>
      <c r="AC81" s="33">
        <f t="shared" si="104"/>
        <v>0</v>
      </c>
      <c r="AD81" s="39">
        <f t="shared" si="105"/>
        <v>0</v>
      </c>
      <c r="AE81" s="16">
        <f t="shared" si="106"/>
        <v>-1.78929292989793E-3</v>
      </c>
      <c r="AF81" s="39">
        <f t="shared" si="107"/>
        <v>3.2015691889827187E-6</v>
      </c>
      <c r="AG81" s="16">
        <f t="shared" si="108"/>
        <v>0</v>
      </c>
      <c r="AH81" s="39">
        <f t="shared" si="109"/>
        <v>0</v>
      </c>
      <c r="AI81" s="31">
        <f t="shared" si="110"/>
        <v>3.1675389135668253E-2</v>
      </c>
      <c r="AJ81" s="13">
        <f t="shared" si="111"/>
        <v>7.6349365745431941E-2</v>
      </c>
    </row>
    <row r="82" spans="1:36" x14ac:dyDescent="0.25">
      <c r="A82" s="29">
        <v>42979</v>
      </c>
      <c r="B82" s="12">
        <v>3.3820534286374597E-2</v>
      </c>
      <c r="C82" s="7">
        <v>6.3999999999999604E-3</v>
      </c>
      <c r="D82" s="7">
        <v>2.3053986685691301E-2</v>
      </c>
      <c r="E82" s="13">
        <v>4.8831792193124897E-2</v>
      </c>
      <c r="F82" s="31">
        <f t="shared" si="89"/>
        <v>1.0338205342863747</v>
      </c>
      <c r="G82" s="7">
        <f t="shared" si="89"/>
        <v>1.0064</v>
      </c>
      <c r="H82" s="7">
        <f t="shared" si="89"/>
        <v>1.0230539866856914</v>
      </c>
      <c r="I82" s="13">
        <f t="shared" si="89"/>
        <v>1.0488317921931249</v>
      </c>
      <c r="J82" s="31">
        <f t="shared" si="112"/>
        <v>1.6111916528601733</v>
      </c>
      <c r="K82" s="7">
        <f>MAX($J$2:J82)</f>
        <v>1.6111916528601733</v>
      </c>
      <c r="L82" s="13">
        <f t="shared" si="90"/>
        <v>0</v>
      </c>
      <c r="M82" s="12">
        <f t="shared" si="113"/>
        <v>3.3877446879476509</v>
      </c>
      <c r="N82" s="7">
        <f>MAX($M$2:M82)</f>
        <v>3.3877446879476509</v>
      </c>
      <c r="O82" s="39">
        <f t="shared" si="91"/>
        <v>0</v>
      </c>
      <c r="P82" s="31">
        <f t="shared" si="92"/>
        <v>3.3820534286374597E-2</v>
      </c>
      <c r="Q82" s="13" t="str">
        <f t="shared" si="93"/>
        <v xml:space="preserve"> </v>
      </c>
      <c r="R82" s="31">
        <f t="shared" si="94"/>
        <v>2.3053986685691301E-2</v>
      </c>
      <c r="S82" s="39" t="str">
        <f t="shared" si="95"/>
        <v xml:space="preserve"> </v>
      </c>
      <c r="T82" s="31">
        <f t="shared" si="96"/>
        <v>2.7420534286374636E-2</v>
      </c>
      <c r="U82" s="39">
        <f t="shared" si="97"/>
        <v>1.665398668569134E-2</v>
      </c>
      <c r="V82" s="17">
        <f t="shared" si="98"/>
        <v>4.2431792193124936E-2</v>
      </c>
      <c r="W82" s="31">
        <f t="shared" si="99"/>
        <v>0</v>
      </c>
      <c r="X82" s="39">
        <f t="shared" si="100"/>
        <v>0</v>
      </c>
      <c r="Y82" s="16">
        <f t="shared" si="101"/>
        <v>0</v>
      </c>
      <c r="Z82" s="39">
        <f t="shared" si="100"/>
        <v>0</v>
      </c>
      <c r="AA82" s="16">
        <f t="shared" si="102"/>
        <v>0</v>
      </c>
      <c r="AB82" s="13">
        <f t="shared" ref="AB82" si="128">AA82^2</f>
        <v>0</v>
      </c>
      <c r="AC82" s="33">
        <f t="shared" si="104"/>
        <v>0</v>
      </c>
      <c r="AD82" s="39">
        <f t="shared" si="105"/>
        <v>0</v>
      </c>
      <c r="AE82" s="16">
        <f t="shared" si="106"/>
        <v>0</v>
      </c>
      <c r="AF82" s="39">
        <f t="shared" si="107"/>
        <v>0</v>
      </c>
      <c r="AG82" s="16">
        <f t="shared" si="108"/>
        <v>0</v>
      </c>
      <c r="AH82" s="39">
        <f t="shared" si="109"/>
        <v>0</v>
      </c>
      <c r="AI82" s="31">
        <f t="shared" si="110"/>
        <v>1.0766547600683296E-2</v>
      </c>
      <c r="AJ82" s="13">
        <f t="shared" si="111"/>
        <v>2.5777805507433582E-2</v>
      </c>
    </row>
    <row r="83" spans="1:36" x14ac:dyDescent="0.25">
      <c r="A83" s="29">
        <v>43009</v>
      </c>
      <c r="B83" s="12">
        <v>1.6297307750272601E-3</v>
      </c>
      <c r="C83" s="7">
        <v>6.3999999999999604E-3</v>
      </c>
      <c r="D83" s="7">
        <v>6.0551554292613101E-2</v>
      </c>
      <c r="E83" s="13">
        <v>1.8844052009581099E-4</v>
      </c>
      <c r="F83" s="31">
        <f t="shared" si="89"/>
        <v>1.0016297307750273</v>
      </c>
      <c r="G83" s="7">
        <f t="shared" si="89"/>
        <v>1.0064</v>
      </c>
      <c r="H83" s="7">
        <f t="shared" si="89"/>
        <v>1.0605515542926132</v>
      </c>
      <c r="I83" s="13">
        <f t="shared" si="89"/>
        <v>1.0001884405200958</v>
      </c>
      <c r="J83" s="31">
        <f t="shared" si="112"/>
        <v>1.6138174614813066</v>
      </c>
      <c r="K83" s="7">
        <f>MAX($J$2:J83)</f>
        <v>1.6138174614813066</v>
      </c>
      <c r="L83" s="13">
        <f t="shared" si="90"/>
        <v>0</v>
      </c>
      <c r="M83" s="12">
        <f t="shared" si="113"/>
        <v>3.5928778943494248</v>
      </c>
      <c r="N83" s="7">
        <f>MAX($M$2:M83)</f>
        <v>3.5928778943494248</v>
      </c>
      <c r="O83" s="39">
        <f t="shared" si="91"/>
        <v>0</v>
      </c>
      <c r="P83" s="31">
        <f t="shared" si="92"/>
        <v>1.6297307750272601E-3</v>
      </c>
      <c r="Q83" s="13" t="str">
        <f t="shared" si="93"/>
        <v xml:space="preserve"> </v>
      </c>
      <c r="R83" s="31">
        <f t="shared" si="94"/>
        <v>6.0551554292613101E-2</v>
      </c>
      <c r="S83" s="39" t="str">
        <f t="shared" si="95"/>
        <v xml:space="preserve"> </v>
      </c>
      <c r="T83" s="31">
        <f t="shared" si="96"/>
        <v>-4.7702692249727008E-3</v>
      </c>
      <c r="U83" s="39">
        <f t="shared" si="97"/>
        <v>5.415155429261314E-2</v>
      </c>
      <c r="V83" s="17">
        <f t="shared" si="98"/>
        <v>-6.2115594799041496E-3</v>
      </c>
      <c r="W83" s="31">
        <f t="shared" si="99"/>
        <v>-4.7702692249727008E-3</v>
      </c>
      <c r="X83" s="39">
        <f t="shared" si="100"/>
        <v>2.2755468478721651E-5</v>
      </c>
      <c r="Y83" s="16">
        <f t="shared" si="101"/>
        <v>0</v>
      </c>
      <c r="Z83" s="39">
        <f t="shared" si="100"/>
        <v>0</v>
      </c>
      <c r="AA83" s="16">
        <f t="shared" si="102"/>
        <v>-6.2115594799041496E-3</v>
      </c>
      <c r="AB83" s="13">
        <f t="shared" ref="AB83" si="129">AA83^2</f>
        <v>3.858347117238711E-5</v>
      </c>
      <c r="AC83" s="33">
        <f t="shared" si="104"/>
        <v>0</v>
      </c>
      <c r="AD83" s="39">
        <f t="shared" si="105"/>
        <v>0</v>
      </c>
      <c r="AE83" s="16">
        <f t="shared" si="106"/>
        <v>0</v>
      </c>
      <c r="AF83" s="39">
        <f t="shared" si="107"/>
        <v>0</v>
      </c>
      <c r="AG83" s="16">
        <f t="shared" si="108"/>
        <v>0</v>
      </c>
      <c r="AH83" s="39">
        <f t="shared" si="109"/>
        <v>0</v>
      </c>
      <c r="AI83" s="31">
        <f t="shared" si="110"/>
        <v>-5.8921823517585903E-2</v>
      </c>
      <c r="AJ83" s="13">
        <f t="shared" si="111"/>
        <v>-6.0363113772517352E-2</v>
      </c>
    </row>
    <row r="84" spans="1:36" x14ac:dyDescent="0.25">
      <c r="A84" s="29">
        <v>43040</v>
      </c>
      <c r="B84" s="12">
        <v>-1.18255491777466E-2</v>
      </c>
      <c r="C84" s="7">
        <v>5.7000000000000297E-3</v>
      </c>
      <c r="D84" s="7">
        <v>5.7990264236049598E-3</v>
      </c>
      <c r="E84" s="13">
        <v>-3.1450180330516199E-2</v>
      </c>
      <c r="F84" s="31">
        <f t="shared" si="89"/>
        <v>0.98817445082225341</v>
      </c>
      <c r="G84" s="7">
        <f t="shared" si="89"/>
        <v>1.0057</v>
      </c>
      <c r="H84" s="7">
        <f t="shared" si="89"/>
        <v>1.005799026423605</v>
      </c>
      <c r="I84" s="13">
        <f t="shared" si="89"/>
        <v>0.96854981966948384</v>
      </c>
      <c r="J84" s="31">
        <f t="shared" si="112"/>
        <v>1.5947331837266532</v>
      </c>
      <c r="K84" s="7">
        <f>MAX($J$2:J84)</f>
        <v>1.6138174614813066</v>
      </c>
      <c r="L84" s="13">
        <f t="shared" si="90"/>
        <v>-1.1825549177746605E-2</v>
      </c>
      <c r="M84" s="12">
        <f t="shared" si="113"/>
        <v>3.6137130881955435</v>
      </c>
      <c r="N84" s="7">
        <f>MAX($M$2:M84)</f>
        <v>3.6137130881955435</v>
      </c>
      <c r="O84" s="39">
        <f t="shared" si="91"/>
        <v>0</v>
      </c>
      <c r="P84" s="31" t="str">
        <f t="shared" si="92"/>
        <v xml:space="preserve"> </v>
      </c>
      <c r="Q84" s="13">
        <f t="shared" si="93"/>
        <v>-1.18255491777466E-2</v>
      </c>
      <c r="R84" s="31">
        <f t="shared" si="94"/>
        <v>5.7990264236049598E-3</v>
      </c>
      <c r="S84" s="39" t="str">
        <f t="shared" si="95"/>
        <v xml:space="preserve"> </v>
      </c>
      <c r="T84" s="31">
        <f t="shared" si="96"/>
        <v>-1.7525549177746631E-2</v>
      </c>
      <c r="U84" s="39">
        <f t="shared" si="97"/>
        <v>9.9026423604930101E-5</v>
      </c>
      <c r="V84" s="17">
        <f t="shared" si="98"/>
        <v>-3.715018033051623E-2</v>
      </c>
      <c r="W84" s="31">
        <f t="shared" si="99"/>
        <v>-1.7525549177746631E-2</v>
      </c>
      <c r="X84" s="39">
        <f t="shared" si="100"/>
        <v>3.0714487398161562E-4</v>
      </c>
      <c r="Y84" s="16">
        <f t="shared" si="101"/>
        <v>0</v>
      </c>
      <c r="Z84" s="39">
        <f t="shared" si="100"/>
        <v>0</v>
      </c>
      <c r="AA84" s="16">
        <f t="shared" si="102"/>
        <v>-3.715018033051623E-2</v>
      </c>
      <c r="AB84" s="13">
        <f t="shared" ref="AB84" si="130">AA84^2</f>
        <v>1.380135898589875E-3</v>
      </c>
      <c r="AC84" s="33">
        <f t="shared" si="104"/>
        <v>-1.18255491777466E-2</v>
      </c>
      <c r="AD84" s="39">
        <f t="shared" si="105"/>
        <v>1.398436133553033E-4</v>
      </c>
      <c r="AE84" s="16">
        <f t="shared" si="106"/>
        <v>0</v>
      </c>
      <c r="AF84" s="39">
        <f t="shared" si="107"/>
        <v>0</v>
      </c>
      <c r="AG84" s="16">
        <f t="shared" si="108"/>
        <v>-3.1450180330516199E-2</v>
      </c>
      <c r="AH84" s="39">
        <f t="shared" si="109"/>
        <v>9.89113842821988E-4</v>
      </c>
      <c r="AI84" s="31">
        <f t="shared" si="110"/>
        <v>-1.7624575601351555E-2</v>
      </c>
      <c r="AJ84" s="13">
        <f t="shared" si="111"/>
        <v>-3.7249206754121134E-2</v>
      </c>
    </row>
    <row r="85" spans="1:36" x14ac:dyDescent="0.25">
      <c r="A85" s="29">
        <v>43070</v>
      </c>
      <c r="B85" s="12">
        <v>1.9905378999253799E-2</v>
      </c>
      <c r="C85" s="7">
        <v>5.4000000000000697E-3</v>
      </c>
      <c r="D85" s="7">
        <v>2.9832178853994099E-2</v>
      </c>
      <c r="E85" s="13">
        <v>6.1566464270331002E-2</v>
      </c>
      <c r="F85" s="31">
        <f t="shared" si="89"/>
        <v>1.0199053789992538</v>
      </c>
      <c r="G85" s="7">
        <f t="shared" si="89"/>
        <v>1.0054000000000001</v>
      </c>
      <c r="H85" s="7">
        <f t="shared" si="89"/>
        <v>1.0298321788539941</v>
      </c>
      <c r="I85" s="13">
        <f t="shared" si="89"/>
        <v>1.0615664642703311</v>
      </c>
      <c r="J85" s="31">
        <f t="shared" si="112"/>
        <v>1.6264769521514189</v>
      </c>
      <c r="K85" s="7">
        <f>MAX($J$2:J85)</f>
        <v>1.6264769521514189</v>
      </c>
      <c r="L85" s="13">
        <f t="shared" si="90"/>
        <v>0</v>
      </c>
      <c r="M85" s="12">
        <f t="shared" si="113"/>
        <v>3.7215180233696126</v>
      </c>
      <c r="N85" s="7">
        <f>MAX($M$2:M85)</f>
        <v>3.7215180233696126</v>
      </c>
      <c r="O85" s="39">
        <f t="shared" si="91"/>
        <v>0</v>
      </c>
      <c r="P85" s="31">
        <f t="shared" si="92"/>
        <v>1.9905378999253799E-2</v>
      </c>
      <c r="Q85" s="13" t="str">
        <f t="shared" si="93"/>
        <v xml:space="preserve"> </v>
      </c>
      <c r="R85" s="31">
        <f t="shared" si="94"/>
        <v>2.9832178853994099E-2</v>
      </c>
      <c r="S85" s="39" t="str">
        <f t="shared" si="95"/>
        <v xml:space="preserve"> </v>
      </c>
      <c r="T85" s="31">
        <f t="shared" si="96"/>
        <v>1.4505378999253729E-2</v>
      </c>
      <c r="U85" s="39">
        <f t="shared" si="97"/>
        <v>2.4432178853994027E-2</v>
      </c>
      <c r="V85" s="17">
        <f t="shared" si="98"/>
        <v>5.6166464270330931E-2</v>
      </c>
      <c r="W85" s="31">
        <f t="shared" si="99"/>
        <v>0</v>
      </c>
      <c r="X85" s="39">
        <f t="shared" si="100"/>
        <v>0</v>
      </c>
      <c r="Y85" s="16">
        <f t="shared" si="101"/>
        <v>0</v>
      </c>
      <c r="Z85" s="39">
        <f t="shared" si="100"/>
        <v>0</v>
      </c>
      <c r="AA85" s="16">
        <f t="shared" si="102"/>
        <v>0</v>
      </c>
      <c r="AB85" s="13">
        <f t="shared" ref="AB85" si="131">AA85^2</f>
        <v>0</v>
      </c>
      <c r="AC85" s="33">
        <f t="shared" si="104"/>
        <v>0</v>
      </c>
      <c r="AD85" s="39">
        <f t="shared" si="105"/>
        <v>0</v>
      </c>
      <c r="AE85" s="16">
        <f t="shared" si="106"/>
        <v>0</v>
      </c>
      <c r="AF85" s="39">
        <f t="shared" si="107"/>
        <v>0</v>
      </c>
      <c r="AG85" s="16">
        <f t="shared" si="108"/>
        <v>0</v>
      </c>
      <c r="AH85" s="39">
        <f t="shared" si="109"/>
        <v>0</v>
      </c>
      <c r="AI85" s="31">
        <f t="shared" si="110"/>
        <v>-9.9267998547403202E-3</v>
      </c>
      <c r="AJ85" s="13">
        <f t="shared" si="111"/>
        <v>3.1734285416336938E-2</v>
      </c>
    </row>
    <row r="86" spans="1:36" x14ac:dyDescent="0.25">
      <c r="A86" s="29">
        <v>43101</v>
      </c>
      <c r="B86" s="12">
        <v>6.9065174710739294E-2</v>
      </c>
      <c r="C86" s="7">
        <v>5.8000000000000204E-3</v>
      </c>
      <c r="D86" s="7">
        <v>1.9642668953602602E-2</v>
      </c>
      <c r="E86" s="13">
        <v>0.11139760739247601</v>
      </c>
      <c r="F86" s="31">
        <f t="shared" si="89"/>
        <v>1.0690651747107394</v>
      </c>
      <c r="G86" s="7">
        <f t="shared" si="89"/>
        <v>1.0058</v>
      </c>
      <c r="H86" s="7">
        <f t="shared" si="89"/>
        <v>1.0196426689536027</v>
      </c>
      <c r="I86" s="13">
        <f t="shared" si="89"/>
        <v>1.1113976073924761</v>
      </c>
      <c r="J86" s="31">
        <f t="shared" si="112"/>
        <v>1.7388098670147474</v>
      </c>
      <c r="K86" s="7">
        <f>MAX($J$2:J86)</f>
        <v>1.7388098670147474</v>
      </c>
      <c r="L86" s="13">
        <f t="shared" si="90"/>
        <v>0</v>
      </c>
      <c r="M86" s="12">
        <f t="shared" si="113"/>
        <v>3.7946185699075277</v>
      </c>
      <c r="N86" s="7">
        <f>MAX($M$2:M86)</f>
        <v>3.7946185699075277</v>
      </c>
      <c r="O86" s="39">
        <f t="shared" si="91"/>
        <v>0</v>
      </c>
      <c r="P86" s="31">
        <f t="shared" si="92"/>
        <v>6.9065174710739294E-2</v>
      </c>
      <c r="Q86" s="13" t="str">
        <f t="shared" si="93"/>
        <v xml:space="preserve"> </v>
      </c>
      <c r="R86" s="31">
        <f t="shared" si="94"/>
        <v>1.9642668953602602E-2</v>
      </c>
      <c r="S86" s="39" t="str">
        <f t="shared" si="95"/>
        <v xml:space="preserve"> </v>
      </c>
      <c r="T86" s="31">
        <f t="shared" si="96"/>
        <v>6.326517471073928E-2</v>
      </c>
      <c r="U86" s="39">
        <f t="shared" si="97"/>
        <v>1.3842668953602581E-2</v>
      </c>
      <c r="V86" s="17">
        <f t="shared" si="98"/>
        <v>0.10559760739247598</v>
      </c>
      <c r="W86" s="31">
        <f t="shared" si="99"/>
        <v>0</v>
      </c>
      <c r="X86" s="39">
        <f t="shared" si="100"/>
        <v>0</v>
      </c>
      <c r="Y86" s="16">
        <f t="shared" si="101"/>
        <v>0</v>
      </c>
      <c r="Z86" s="39">
        <f t="shared" si="100"/>
        <v>0</v>
      </c>
      <c r="AA86" s="16">
        <f t="shared" si="102"/>
        <v>0</v>
      </c>
      <c r="AB86" s="13">
        <f t="shared" ref="AB86" si="132">AA86^2</f>
        <v>0</v>
      </c>
      <c r="AC86" s="33">
        <f t="shared" si="104"/>
        <v>0</v>
      </c>
      <c r="AD86" s="39">
        <f t="shared" si="105"/>
        <v>0</v>
      </c>
      <c r="AE86" s="16">
        <f t="shared" si="106"/>
        <v>0</v>
      </c>
      <c r="AF86" s="39">
        <f t="shared" si="107"/>
        <v>0</v>
      </c>
      <c r="AG86" s="16">
        <f t="shared" si="108"/>
        <v>0</v>
      </c>
      <c r="AH86" s="39">
        <f t="shared" si="109"/>
        <v>0</v>
      </c>
      <c r="AI86" s="31">
        <f t="shared" si="110"/>
        <v>4.9422505757136692E-2</v>
      </c>
      <c r="AJ86" s="13">
        <f t="shared" si="111"/>
        <v>9.175493843887339E-2</v>
      </c>
    </row>
    <row r="87" spans="1:36" x14ac:dyDescent="0.25">
      <c r="A87" s="29">
        <v>43132</v>
      </c>
      <c r="B87" s="12">
        <v>-6.67779540267199E-4</v>
      </c>
      <c r="C87" s="7">
        <v>4.5999999999999297E-3</v>
      </c>
      <c r="D87" s="7">
        <v>-2.3690052004465102E-2</v>
      </c>
      <c r="E87" s="13">
        <v>6.6891995336402204E-3</v>
      </c>
      <c r="F87" s="31">
        <f t="shared" si="89"/>
        <v>0.9993322204597328</v>
      </c>
      <c r="G87" s="7">
        <f t="shared" si="89"/>
        <v>1.0045999999999999</v>
      </c>
      <c r="H87" s="7">
        <f t="shared" si="89"/>
        <v>0.97630994799553494</v>
      </c>
      <c r="I87" s="13">
        <f t="shared" si="89"/>
        <v>1.0066891995336402</v>
      </c>
      <c r="J87" s="31">
        <f t="shared" si="112"/>
        <v>1.7376487253611401</v>
      </c>
      <c r="K87" s="7">
        <f>MAX($J$2:J87)</f>
        <v>1.7388098670147474</v>
      </c>
      <c r="L87" s="13">
        <f t="shared" si="90"/>
        <v>-6.6777954026724421E-4</v>
      </c>
      <c r="M87" s="12">
        <f t="shared" si="113"/>
        <v>3.7047238586493094</v>
      </c>
      <c r="N87" s="7">
        <f>MAX($M$2:M87)</f>
        <v>3.7946185699075277</v>
      </c>
      <c r="O87" s="39">
        <f t="shared" si="91"/>
        <v>-2.3690052004465081E-2</v>
      </c>
      <c r="P87" s="31" t="str">
        <f t="shared" si="92"/>
        <v xml:space="preserve"> </v>
      </c>
      <c r="Q87" s="13">
        <f t="shared" si="93"/>
        <v>-6.67779540267199E-4</v>
      </c>
      <c r="R87" s="31" t="str">
        <f t="shared" si="94"/>
        <v xml:space="preserve"> </v>
      </c>
      <c r="S87" s="39">
        <f t="shared" si="95"/>
        <v>-2.3690052004465102E-2</v>
      </c>
      <c r="T87" s="31">
        <f t="shared" si="96"/>
        <v>-5.267779540267129E-3</v>
      </c>
      <c r="U87" s="39">
        <f t="shared" si="97"/>
        <v>-2.8290052004465032E-2</v>
      </c>
      <c r="V87" s="17">
        <f t="shared" si="98"/>
        <v>2.0891995336402907E-3</v>
      </c>
      <c r="W87" s="31">
        <f t="shared" si="99"/>
        <v>-5.267779540267129E-3</v>
      </c>
      <c r="X87" s="39">
        <f t="shared" si="100"/>
        <v>2.7749501284856965E-5</v>
      </c>
      <c r="Y87" s="16">
        <f t="shared" si="101"/>
        <v>-2.8290052004465032E-2</v>
      </c>
      <c r="Z87" s="39">
        <f t="shared" si="100"/>
        <v>8.0032704241533598E-4</v>
      </c>
      <c r="AA87" s="16">
        <f t="shared" si="102"/>
        <v>0</v>
      </c>
      <c r="AB87" s="13">
        <f t="shared" ref="AB87" si="133">AA87^2</f>
        <v>0</v>
      </c>
      <c r="AC87" s="33">
        <f t="shared" si="104"/>
        <v>-6.67779540267199E-4</v>
      </c>
      <c r="AD87" s="39">
        <f t="shared" si="105"/>
        <v>4.4592951439947165E-7</v>
      </c>
      <c r="AE87" s="16">
        <f t="shared" si="106"/>
        <v>-2.3690052004465102E-2</v>
      </c>
      <c r="AF87" s="39">
        <f t="shared" si="107"/>
        <v>5.61218563974261E-4</v>
      </c>
      <c r="AG87" s="16">
        <f t="shared" si="108"/>
        <v>0</v>
      </c>
      <c r="AH87" s="39">
        <f t="shared" si="109"/>
        <v>0</v>
      </c>
      <c r="AI87" s="31">
        <f t="shared" si="110"/>
        <v>2.3022272464197857E-2</v>
      </c>
      <c r="AJ87" s="13">
        <f t="shared" si="111"/>
        <v>3.0379251538105279E-2</v>
      </c>
    </row>
    <row r="88" spans="1:36" x14ac:dyDescent="0.25">
      <c r="A88" s="29">
        <v>43160</v>
      </c>
      <c r="B88" s="12">
        <v>4.1960301659238397E-3</v>
      </c>
      <c r="C88" s="7">
        <v>5.3000000000000798E-3</v>
      </c>
      <c r="D88" s="7">
        <v>3.85810444959666E-4</v>
      </c>
      <c r="E88" s="13">
        <v>-1.34532820158861E-3</v>
      </c>
      <c r="F88" s="31">
        <f t="shared" si="89"/>
        <v>1.0041960301659238</v>
      </c>
      <c r="G88" s="7">
        <f t="shared" si="89"/>
        <v>1.0053000000000001</v>
      </c>
      <c r="H88" s="7">
        <f t="shared" si="89"/>
        <v>1.0003858104449597</v>
      </c>
      <c r="I88" s="13">
        <f t="shared" si="89"/>
        <v>0.99865467179841139</v>
      </c>
      <c r="J88" s="31">
        <f t="shared" si="112"/>
        <v>1.7449399518305346</v>
      </c>
      <c r="K88" s="7">
        <f>MAX($J$2:J88)</f>
        <v>1.7449399518305346</v>
      </c>
      <c r="L88" s="13">
        <f t="shared" si="90"/>
        <v>0</v>
      </c>
      <c r="M88" s="12">
        <f t="shared" si="113"/>
        <v>3.7061531798096676</v>
      </c>
      <c r="N88" s="7">
        <f>MAX($M$2:M88)</f>
        <v>3.7946185699075277</v>
      </c>
      <c r="O88" s="39">
        <f t="shared" si="91"/>
        <v>-2.3313381429010367E-2</v>
      </c>
      <c r="P88" s="31">
        <f t="shared" si="92"/>
        <v>4.1960301659238397E-3</v>
      </c>
      <c r="Q88" s="13" t="str">
        <f t="shared" si="93"/>
        <v xml:space="preserve"> </v>
      </c>
      <c r="R88" s="31">
        <f t="shared" si="94"/>
        <v>3.85810444959666E-4</v>
      </c>
      <c r="S88" s="39" t="str">
        <f t="shared" si="95"/>
        <v xml:space="preserve"> </v>
      </c>
      <c r="T88" s="31">
        <f t="shared" si="96"/>
        <v>-1.1039698340762402E-3</v>
      </c>
      <c r="U88" s="39">
        <f t="shared" si="97"/>
        <v>-4.914189555040414E-3</v>
      </c>
      <c r="V88" s="17">
        <f t="shared" si="98"/>
        <v>-6.64532820158869E-3</v>
      </c>
      <c r="W88" s="31">
        <f t="shared" si="99"/>
        <v>-1.1039698340762402E-3</v>
      </c>
      <c r="X88" s="39">
        <f t="shared" si="100"/>
        <v>1.2187493945503212E-6</v>
      </c>
      <c r="Y88" s="16">
        <f t="shared" si="101"/>
        <v>-4.914189555040414E-3</v>
      </c>
      <c r="Z88" s="39">
        <f t="shared" si="100"/>
        <v>2.4149258982868302E-5</v>
      </c>
      <c r="AA88" s="16">
        <f t="shared" si="102"/>
        <v>-6.64532820158869E-3</v>
      </c>
      <c r="AB88" s="13">
        <f t="shared" ref="AB88" si="134">AA88^2</f>
        <v>4.416038690682997E-5</v>
      </c>
      <c r="AC88" s="33">
        <f t="shared" si="104"/>
        <v>0</v>
      </c>
      <c r="AD88" s="39">
        <f t="shared" si="105"/>
        <v>0</v>
      </c>
      <c r="AE88" s="16">
        <f t="shared" si="106"/>
        <v>0</v>
      </c>
      <c r="AF88" s="39">
        <f t="shared" si="107"/>
        <v>0</v>
      </c>
      <c r="AG88" s="16">
        <f t="shared" si="108"/>
        <v>-1.34532820158861E-3</v>
      </c>
      <c r="AH88" s="39">
        <f t="shared" si="109"/>
        <v>1.8099079699896437E-6</v>
      </c>
      <c r="AI88" s="31">
        <f t="shared" si="110"/>
        <v>3.8102197209641808E-3</v>
      </c>
      <c r="AJ88" s="13">
        <f t="shared" si="111"/>
        <v>-1.7311386465482803E-3</v>
      </c>
    </row>
    <row r="89" spans="1:36" x14ac:dyDescent="0.25">
      <c r="A89" s="29">
        <v>43191</v>
      </c>
      <c r="B89" s="12">
        <v>9.0232709632027605E-3</v>
      </c>
      <c r="C89" s="7">
        <v>5.20000000000009E-3</v>
      </c>
      <c r="D89" s="7">
        <v>5.4924363843916302E-2</v>
      </c>
      <c r="E89" s="13">
        <v>8.7739849588828103E-3</v>
      </c>
      <c r="F89" s="31">
        <f t="shared" si="89"/>
        <v>1.0090232709632028</v>
      </c>
      <c r="G89" s="7">
        <f t="shared" si="89"/>
        <v>1.0052000000000001</v>
      </c>
      <c r="H89" s="7">
        <f t="shared" si="89"/>
        <v>1.0549243638439163</v>
      </c>
      <c r="I89" s="13">
        <f t="shared" si="89"/>
        <v>1.0087739849588828</v>
      </c>
      <c r="J89" s="31">
        <f t="shared" si="112"/>
        <v>1.7606850178304194</v>
      </c>
      <c r="K89" s="7">
        <f>MAX($J$2:J89)</f>
        <v>1.7606850178304194</v>
      </c>
      <c r="L89" s="13">
        <f t="shared" si="90"/>
        <v>0</v>
      </c>
      <c r="M89" s="12">
        <f t="shared" si="113"/>
        <v>3.9097112855188212</v>
      </c>
      <c r="N89" s="7">
        <f>MAX($M$2:M89)</f>
        <v>3.9097112855188212</v>
      </c>
      <c r="O89" s="39">
        <f t="shared" si="91"/>
        <v>0</v>
      </c>
      <c r="P89" s="31">
        <f t="shared" si="92"/>
        <v>9.0232709632027605E-3</v>
      </c>
      <c r="Q89" s="13" t="str">
        <f t="shared" si="93"/>
        <v xml:space="preserve"> </v>
      </c>
      <c r="R89" s="31">
        <f t="shared" si="94"/>
        <v>5.4924363843916302E-2</v>
      </c>
      <c r="S89" s="39" t="str">
        <f t="shared" si="95"/>
        <v xml:space="preserve"> </v>
      </c>
      <c r="T89" s="31">
        <f t="shared" si="96"/>
        <v>3.8232709632026705E-3</v>
      </c>
      <c r="U89" s="39">
        <f t="shared" si="97"/>
        <v>4.9724363843916208E-2</v>
      </c>
      <c r="V89" s="17">
        <f t="shared" si="98"/>
        <v>3.5739849588827203E-3</v>
      </c>
      <c r="W89" s="31">
        <f t="shared" si="99"/>
        <v>0</v>
      </c>
      <c r="X89" s="39">
        <f t="shared" si="100"/>
        <v>0</v>
      </c>
      <c r="Y89" s="16">
        <f t="shared" si="101"/>
        <v>0</v>
      </c>
      <c r="Z89" s="39">
        <f t="shared" si="100"/>
        <v>0</v>
      </c>
      <c r="AA89" s="16">
        <f t="shared" si="102"/>
        <v>0</v>
      </c>
      <c r="AB89" s="13">
        <f t="shared" ref="AB89" si="135">AA89^2</f>
        <v>0</v>
      </c>
      <c r="AC89" s="33">
        <f t="shared" si="104"/>
        <v>0</v>
      </c>
      <c r="AD89" s="39">
        <f t="shared" si="105"/>
        <v>0</v>
      </c>
      <c r="AE89" s="16">
        <f t="shared" si="106"/>
        <v>0</v>
      </c>
      <c r="AF89" s="39">
        <f t="shared" si="107"/>
        <v>0</v>
      </c>
      <c r="AG89" s="16">
        <f t="shared" si="108"/>
        <v>0</v>
      </c>
      <c r="AH89" s="39">
        <f t="shared" si="109"/>
        <v>0</v>
      </c>
      <c r="AI89" s="31">
        <f t="shared" si="110"/>
        <v>-4.5901092880713534E-2</v>
      </c>
      <c r="AJ89" s="13">
        <f t="shared" si="111"/>
        <v>-4.6150378885033483E-2</v>
      </c>
    </row>
    <row r="90" spans="1:36" x14ac:dyDescent="0.25">
      <c r="A90" s="29">
        <v>43221</v>
      </c>
      <c r="B90" s="12">
        <v>-4.9221570200544101E-2</v>
      </c>
      <c r="C90" s="7">
        <v>5.20000000000009E-3</v>
      </c>
      <c r="D90" s="7">
        <v>8.2456232889530606E-2</v>
      </c>
      <c r="E90" s="13">
        <v>-0.108703477907449</v>
      </c>
      <c r="F90" s="31">
        <f t="shared" si="89"/>
        <v>0.95077842979945593</v>
      </c>
      <c r="G90" s="7">
        <f t="shared" si="89"/>
        <v>1.0052000000000001</v>
      </c>
      <c r="H90" s="7">
        <f t="shared" si="89"/>
        <v>1.0824562328895306</v>
      </c>
      <c r="I90" s="13">
        <f t="shared" si="89"/>
        <v>0.89129652209255106</v>
      </c>
      <c r="J90" s="31">
        <f t="shared" si="112"/>
        <v>1.6740213366242331</v>
      </c>
      <c r="K90" s="7">
        <f>MAX($J$2:J90)</f>
        <v>1.7606850178304194</v>
      </c>
      <c r="L90" s="13">
        <f t="shared" si="90"/>
        <v>-4.9221570200544129E-2</v>
      </c>
      <c r="M90" s="12">
        <f t="shared" si="113"/>
        <v>4.2320913498083872</v>
      </c>
      <c r="N90" s="7">
        <f>MAX($M$2:M90)</f>
        <v>4.2320913498083872</v>
      </c>
      <c r="O90" s="39">
        <f t="shared" si="91"/>
        <v>0</v>
      </c>
      <c r="P90" s="31" t="str">
        <f t="shared" si="92"/>
        <v xml:space="preserve"> </v>
      </c>
      <c r="Q90" s="13">
        <f t="shared" si="93"/>
        <v>-4.9221570200544101E-2</v>
      </c>
      <c r="R90" s="31">
        <f t="shared" si="94"/>
        <v>8.2456232889530606E-2</v>
      </c>
      <c r="S90" s="39" t="str">
        <f t="shared" si="95"/>
        <v xml:space="preserve"> </v>
      </c>
      <c r="T90" s="31">
        <f t="shared" si="96"/>
        <v>-5.4421570200544195E-2</v>
      </c>
      <c r="U90" s="39">
        <f t="shared" si="97"/>
        <v>7.7256232889530513E-2</v>
      </c>
      <c r="V90" s="17">
        <f t="shared" si="98"/>
        <v>-0.11390347790744909</v>
      </c>
      <c r="W90" s="31">
        <f t="shared" si="99"/>
        <v>-5.4421570200544195E-2</v>
      </c>
      <c r="X90" s="39">
        <f t="shared" si="100"/>
        <v>2.9617073030927597E-3</v>
      </c>
      <c r="Y90" s="16">
        <f t="shared" si="101"/>
        <v>0</v>
      </c>
      <c r="Z90" s="39">
        <f t="shared" si="100"/>
        <v>0</v>
      </c>
      <c r="AA90" s="16">
        <f t="shared" si="102"/>
        <v>-0.11390347790744909</v>
      </c>
      <c r="AB90" s="13">
        <f t="shared" ref="AB90" si="136">AA90^2</f>
        <v>1.2974002279412743E-2</v>
      </c>
      <c r="AC90" s="33">
        <f t="shared" si="104"/>
        <v>-4.9221570200544101E-2</v>
      </c>
      <c r="AD90" s="39">
        <f t="shared" si="105"/>
        <v>2.4227629730070909E-3</v>
      </c>
      <c r="AE90" s="16">
        <f t="shared" si="106"/>
        <v>0</v>
      </c>
      <c r="AF90" s="39">
        <f t="shared" si="107"/>
        <v>0</v>
      </c>
      <c r="AG90" s="16">
        <f t="shared" si="108"/>
        <v>-0.108703477907449</v>
      </c>
      <c r="AH90" s="39">
        <f t="shared" si="109"/>
        <v>1.1816446109175252E-2</v>
      </c>
      <c r="AI90" s="31">
        <f t="shared" si="110"/>
        <v>-0.13167780309007471</v>
      </c>
      <c r="AJ90" s="13">
        <f t="shared" si="111"/>
        <v>-0.19115971079697958</v>
      </c>
    </row>
    <row r="91" spans="1:36" x14ac:dyDescent="0.25">
      <c r="A91" s="29">
        <v>43252</v>
      </c>
      <c r="B91" s="12">
        <v>-2.0779007368404399E-2</v>
      </c>
      <c r="C91" s="7">
        <v>5.20000000000009E-3</v>
      </c>
      <c r="D91" s="7">
        <v>2.31096257289049E-2</v>
      </c>
      <c r="E91" s="13">
        <v>-5.1997290043515602E-2</v>
      </c>
      <c r="F91" s="31">
        <f t="shared" si="89"/>
        <v>0.97922099263159557</v>
      </c>
      <c r="G91" s="7">
        <f t="shared" si="89"/>
        <v>1.0052000000000001</v>
      </c>
      <c r="H91" s="7">
        <f t="shared" si="89"/>
        <v>1.023109625728905</v>
      </c>
      <c r="I91" s="13">
        <f t="shared" si="89"/>
        <v>0.94800270995648439</v>
      </c>
      <c r="J91" s="31">
        <f t="shared" si="112"/>
        <v>1.6392368349356519</v>
      </c>
      <c r="K91" s="7">
        <f>MAX($J$2:J91)</f>
        <v>1.7606850178304194</v>
      </c>
      <c r="L91" s="13">
        <f t="shared" si="90"/>
        <v>-6.8977802199067073E-2</v>
      </c>
      <c r="M91" s="12">
        <f t="shared" si="113"/>
        <v>4.3298933969529951</v>
      </c>
      <c r="N91" s="7">
        <f>MAX($M$2:M91)</f>
        <v>4.3298933969529951</v>
      </c>
      <c r="O91" s="39">
        <f t="shared" si="91"/>
        <v>0</v>
      </c>
      <c r="P91" s="31" t="str">
        <f t="shared" si="92"/>
        <v xml:space="preserve"> </v>
      </c>
      <c r="Q91" s="13">
        <f t="shared" si="93"/>
        <v>-2.0779007368404399E-2</v>
      </c>
      <c r="R91" s="31">
        <f t="shared" si="94"/>
        <v>2.31096257289049E-2</v>
      </c>
      <c r="S91" s="39" t="str">
        <f t="shared" si="95"/>
        <v xml:space="preserve"> </v>
      </c>
      <c r="T91" s="31">
        <f t="shared" si="96"/>
        <v>-2.5979007368404489E-2</v>
      </c>
      <c r="U91" s="39">
        <f t="shared" si="97"/>
        <v>1.790962572890481E-2</v>
      </c>
      <c r="V91" s="17">
        <f t="shared" si="98"/>
        <v>-5.7197290043515689E-2</v>
      </c>
      <c r="W91" s="31">
        <f t="shared" si="99"/>
        <v>-2.5979007368404489E-2</v>
      </c>
      <c r="X91" s="39">
        <f t="shared" si="100"/>
        <v>6.749088238476148E-4</v>
      </c>
      <c r="Y91" s="16">
        <f t="shared" si="101"/>
        <v>0</v>
      </c>
      <c r="Z91" s="39">
        <f t="shared" si="100"/>
        <v>0</v>
      </c>
      <c r="AA91" s="16">
        <f t="shared" si="102"/>
        <v>-5.7197290043515689E-2</v>
      </c>
      <c r="AB91" s="13">
        <f t="shared" ref="AB91" si="137">AA91^2</f>
        <v>3.2715299883220588E-3</v>
      </c>
      <c r="AC91" s="33">
        <f t="shared" si="104"/>
        <v>-2.0779007368404399E-2</v>
      </c>
      <c r="AD91" s="39">
        <f t="shared" si="105"/>
        <v>4.3176714721620434E-4</v>
      </c>
      <c r="AE91" s="16">
        <f t="shared" si="106"/>
        <v>0</v>
      </c>
      <c r="AF91" s="39">
        <f t="shared" si="107"/>
        <v>0</v>
      </c>
      <c r="AG91" s="16">
        <f t="shared" si="108"/>
        <v>-5.1997290043515602E-2</v>
      </c>
      <c r="AH91" s="39">
        <f t="shared" si="109"/>
        <v>2.7037181718694869E-3</v>
      </c>
      <c r="AI91" s="31">
        <f t="shared" si="110"/>
        <v>-4.3888633097309393E-2</v>
      </c>
      <c r="AJ91" s="13">
        <f t="shared" si="111"/>
        <v>-7.5106915772420568E-2</v>
      </c>
    </row>
    <row r="92" spans="1:36" x14ac:dyDescent="0.25">
      <c r="A92" s="29">
        <v>43282</v>
      </c>
      <c r="B92" s="12">
        <v>4.5323859812264701E-2</v>
      </c>
      <c r="C92" s="7">
        <v>5.4000000000000697E-3</v>
      </c>
      <c r="D92" s="7">
        <v>1.14579439180961E-3</v>
      </c>
      <c r="E92" s="13">
        <v>8.8740156398169304E-2</v>
      </c>
      <c r="F92" s="31">
        <f t="shared" si="89"/>
        <v>1.0453238598122647</v>
      </c>
      <c r="G92" s="7">
        <f t="shared" si="89"/>
        <v>1.0054000000000001</v>
      </c>
      <c r="H92" s="7">
        <f t="shared" si="89"/>
        <v>1.0011457943918096</v>
      </c>
      <c r="I92" s="13">
        <f t="shared" si="89"/>
        <v>1.0887401563981693</v>
      </c>
      <c r="J92" s="31">
        <f t="shared" si="112"/>
        <v>1.713533375441376</v>
      </c>
      <c r="K92" s="7">
        <f>MAX($J$2:J92)</f>
        <v>1.7606850178304194</v>
      </c>
      <c r="L92" s="13">
        <f t="shared" si="90"/>
        <v>-2.6780282623830944E-2</v>
      </c>
      <c r="M92" s="12">
        <f t="shared" si="113"/>
        <v>4.334854564524357</v>
      </c>
      <c r="N92" s="7">
        <f>MAX($M$2:M92)</f>
        <v>4.334854564524357</v>
      </c>
      <c r="O92" s="39">
        <f t="shared" si="91"/>
        <v>0</v>
      </c>
      <c r="P92" s="31">
        <f t="shared" si="92"/>
        <v>4.5323859812264701E-2</v>
      </c>
      <c r="Q92" s="13" t="str">
        <f t="shared" si="93"/>
        <v xml:space="preserve"> </v>
      </c>
      <c r="R92" s="31">
        <f t="shared" si="94"/>
        <v>1.14579439180961E-3</v>
      </c>
      <c r="S92" s="39" t="str">
        <f t="shared" si="95"/>
        <v xml:space="preserve"> </v>
      </c>
      <c r="T92" s="31">
        <f t="shared" si="96"/>
        <v>3.992385981226463E-2</v>
      </c>
      <c r="U92" s="39">
        <f t="shared" si="97"/>
        <v>-4.2542056081904594E-3</v>
      </c>
      <c r="V92" s="17">
        <f t="shared" si="98"/>
        <v>8.3340156398169232E-2</v>
      </c>
      <c r="W92" s="31">
        <f t="shared" si="99"/>
        <v>0</v>
      </c>
      <c r="X92" s="39">
        <f t="shared" si="100"/>
        <v>0</v>
      </c>
      <c r="Y92" s="16">
        <f t="shared" si="101"/>
        <v>-4.2542056081904594E-3</v>
      </c>
      <c r="Z92" s="39">
        <f t="shared" si="100"/>
        <v>1.8098265356759158E-5</v>
      </c>
      <c r="AA92" s="16">
        <f t="shared" si="102"/>
        <v>0</v>
      </c>
      <c r="AB92" s="13">
        <f t="shared" ref="AB92" si="138">AA92^2</f>
        <v>0</v>
      </c>
      <c r="AC92" s="33">
        <f t="shared" si="104"/>
        <v>0</v>
      </c>
      <c r="AD92" s="39">
        <f t="shared" si="105"/>
        <v>0</v>
      </c>
      <c r="AE92" s="16">
        <f t="shared" si="106"/>
        <v>0</v>
      </c>
      <c r="AF92" s="39">
        <f t="shared" si="107"/>
        <v>0</v>
      </c>
      <c r="AG92" s="16">
        <f t="shared" si="108"/>
        <v>0</v>
      </c>
      <c r="AH92" s="39">
        <f t="shared" si="109"/>
        <v>0</v>
      </c>
      <c r="AI92" s="31">
        <f t="shared" si="110"/>
        <v>4.4178065420455104E-2</v>
      </c>
      <c r="AJ92" s="13">
        <f t="shared" si="111"/>
        <v>8.7594362006359727E-2</v>
      </c>
    </row>
    <row r="93" spans="1:36" x14ac:dyDescent="0.25">
      <c r="A93" s="29">
        <v>43313</v>
      </c>
      <c r="B93" s="12">
        <v>-4.6291724218460104E-3</v>
      </c>
      <c r="C93" s="7">
        <v>5.7000000000000297E-3</v>
      </c>
      <c r="D93" s="7">
        <v>0.122374858061259</v>
      </c>
      <c r="E93" s="13">
        <v>-3.2087856601868102E-2</v>
      </c>
      <c r="F93" s="31">
        <f t="shared" si="89"/>
        <v>0.99537082757815398</v>
      </c>
      <c r="G93" s="7">
        <f t="shared" si="89"/>
        <v>1.0057</v>
      </c>
      <c r="H93" s="7">
        <f t="shared" si="89"/>
        <v>1.1223748580612589</v>
      </c>
      <c r="I93" s="13">
        <f t="shared" si="89"/>
        <v>0.96791214339813192</v>
      </c>
      <c r="J93" s="31">
        <f t="shared" si="112"/>
        <v>1.7056011339958701</v>
      </c>
      <c r="K93" s="7">
        <f>MAX($J$2:J93)</f>
        <v>1.7606850178304194</v>
      </c>
      <c r="L93" s="13">
        <f t="shared" si="90"/>
        <v>-3.1285484499905439E-2</v>
      </c>
      <c r="M93" s="12">
        <f t="shared" si="113"/>
        <v>4.8653317765742257</v>
      </c>
      <c r="N93" s="7">
        <f>MAX($M$2:M93)</f>
        <v>4.8653317765742257</v>
      </c>
      <c r="O93" s="39">
        <f t="shared" si="91"/>
        <v>0</v>
      </c>
      <c r="P93" s="31" t="str">
        <f t="shared" si="92"/>
        <v xml:space="preserve"> </v>
      </c>
      <c r="Q93" s="13">
        <f t="shared" si="93"/>
        <v>-4.6291724218460104E-3</v>
      </c>
      <c r="R93" s="31">
        <f t="shared" si="94"/>
        <v>0.122374858061259</v>
      </c>
      <c r="S93" s="39" t="str">
        <f t="shared" si="95"/>
        <v xml:space="preserve"> </v>
      </c>
      <c r="T93" s="31">
        <f t="shared" si="96"/>
        <v>-1.032917242184604E-2</v>
      </c>
      <c r="U93" s="39">
        <f t="shared" si="97"/>
        <v>0.11667485806125898</v>
      </c>
      <c r="V93" s="17">
        <f t="shared" si="98"/>
        <v>-3.7787856601868133E-2</v>
      </c>
      <c r="W93" s="31">
        <f t="shared" si="99"/>
        <v>-1.032917242184604E-2</v>
      </c>
      <c r="X93" s="39">
        <f t="shared" si="100"/>
        <v>1.0669180292022479E-4</v>
      </c>
      <c r="Y93" s="16">
        <f t="shared" si="101"/>
        <v>0</v>
      </c>
      <c r="Z93" s="39">
        <f t="shared" si="100"/>
        <v>0</v>
      </c>
      <c r="AA93" s="16">
        <f t="shared" si="102"/>
        <v>-3.7787856601868133E-2</v>
      </c>
      <c r="AB93" s="13">
        <f t="shared" ref="AB93" si="139">AA93^2</f>
        <v>1.4279221065633492E-3</v>
      </c>
      <c r="AC93" s="33">
        <f t="shared" si="104"/>
        <v>-4.6291724218460104E-3</v>
      </c>
      <c r="AD93" s="39">
        <f t="shared" si="105"/>
        <v>2.1429237311179657E-5</v>
      </c>
      <c r="AE93" s="16">
        <f t="shared" si="106"/>
        <v>0</v>
      </c>
      <c r="AF93" s="39">
        <f t="shared" si="107"/>
        <v>0</v>
      </c>
      <c r="AG93" s="16">
        <f t="shared" si="108"/>
        <v>-3.2087856601868102E-2</v>
      </c>
      <c r="AH93" s="39">
        <f t="shared" si="109"/>
        <v>1.0296305413020504E-3</v>
      </c>
      <c r="AI93" s="31">
        <f t="shared" si="110"/>
        <v>-0.12700403048310493</v>
      </c>
      <c r="AJ93" s="13">
        <f t="shared" si="111"/>
        <v>-0.154462714663127</v>
      </c>
    </row>
    <row r="94" spans="1:36" x14ac:dyDescent="0.25">
      <c r="A94" s="29">
        <v>43344</v>
      </c>
      <c r="B94" s="12">
        <v>1.04156371609138E-2</v>
      </c>
      <c r="C94" s="7">
        <v>4.6999999999999204E-3</v>
      </c>
      <c r="D94" s="7">
        <v>-2.8094126806786999E-2</v>
      </c>
      <c r="E94" s="13">
        <v>3.4742690211012298E-2</v>
      </c>
      <c r="F94" s="31">
        <f t="shared" si="89"/>
        <v>1.0104156371609139</v>
      </c>
      <c r="G94" s="7">
        <f t="shared" si="89"/>
        <v>1.0046999999999999</v>
      </c>
      <c r="H94" s="7">
        <f t="shared" si="89"/>
        <v>0.97190587319321298</v>
      </c>
      <c r="I94" s="13">
        <f t="shared" si="89"/>
        <v>1.0347426902110124</v>
      </c>
      <c r="J94" s="31">
        <f t="shared" si="112"/>
        <v>1.7233660565488143</v>
      </c>
      <c r="K94" s="7">
        <f>MAX($J$2:J94)</f>
        <v>1.7606850178304194</v>
      </c>
      <c r="L94" s="13">
        <f t="shared" si="90"/>
        <v>-2.119570559394602E-2</v>
      </c>
      <c r="M94" s="12">
        <f t="shared" si="113"/>
        <v>4.7286445286860586</v>
      </c>
      <c r="N94" s="7">
        <f>MAX($M$2:M94)</f>
        <v>4.8653317765742257</v>
      </c>
      <c r="O94" s="39">
        <f t="shared" si="91"/>
        <v>-2.809412680678711E-2</v>
      </c>
      <c r="P94" s="31">
        <f t="shared" si="92"/>
        <v>1.04156371609138E-2</v>
      </c>
      <c r="Q94" s="13" t="str">
        <f t="shared" si="93"/>
        <v xml:space="preserve"> </v>
      </c>
      <c r="R94" s="31" t="str">
        <f t="shared" si="94"/>
        <v xml:space="preserve"> </v>
      </c>
      <c r="S94" s="39">
        <f t="shared" si="95"/>
        <v>-2.8094126806786999E-2</v>
      </c>
      <c r="T94" s="31">
        <f t="shared" si="96"/>
        <v>5.7156371609138794E-3</v>
      </c>
      <c r="U94" s="39">
        <f t="shared" si="97"/>
        <v>-3.2794126806786922E-2</v>
      </c>
      <c r="V94" s="17">
        <f t="shared" si="98"/>
        <v>3.0042690211012378E-2</v>
      </c>
      <c r="W94" s="31">
        <f t="shared" si="99"/>
        <v>0</v>
      </c>
      <c r="X94" s="39">
        <f t="shared" si="100"/>
        <v>0</v>
      </c>
      <c r="Y94" s="16">
        <f t="shared" si="101"/>
        <v>-3.2794126806786922E-2</v>
      </c>
      <c r="Z94" s="39">
        <f t="shared" si="100"/>
        <v>1.0754547530196206E-3</v>
      </c>
      <c r="AA94" s="16">
        <f t="shared" si="102"/>
        <v>0</v>
      </c>
      <c r="AB94" s="13">
        <f t="shared" ref="AB94" si="140">AA94^2</f>
        <v>0</v>
      </c>
      <c r="AC94" s="33">
        <f t="shared" si="104"/>
        <v>0</v>
      </c>
      <c r="AD94" s="39">
        <f t="shared" si="105"/>
        <v>0</v>
      </c>
      <c r="AE94" s="16">
        <f t="shared" si="106"/>
        <v>-2.8094126806786999E-2</v>
      </c>
      <c r="AF94" s="39">
        <f t="shared" si="107"/>
        <v>7.8927996103582789E-4</v>
      </c>
      <c r="AG94" s="16">
        <f t="shared" si="108"/>
        <v>0</v>
      </c>
      <c r="AH94" s="39">
        <f t="shared" si="109"/>
        <v>0</v>
      </c>
      <c r="AI94" s="31">
        <f t="shared" si="110"/>
        <v>3.8509763967700894E-2</v>
      </c>
      <c r="AJ94" s="13">
        <f t="shared" si="111"/>
        <v>6.2836817017799418E-2</v>
      </c>
    </row>
    <row r="95" spans="1:36" x14ac:dyDescent="0.25">
      <c r="A95" s="29">
        <v>43374</v>
      </c>
      <c r="B95" s="12">
        <v>5.2668727235003203E-2</v>
      </c>
      <c r="C95" s="7">
        <v>5.4000000000000697E-3</v>
      </c>
      <c r="D95" s="7">
        <v>-0.15467848397021899</v>
      </c>
      <c r="E95" s="13">
        <v>0.101862821708552</v>
      </c>
      <c r="F95" s="31">
        <f t="shared" si="89"/>
        <v>1.0526687272350033</v>
      </c>
      <c r="G95" s="7">
        <f t="shared" si="89"/>
        <v>1.0054000000000001</v>
      </c>
      <c r="H95" s="7">
        <f t="shared" si="89"/>
        <v>0.84532151602978101</v>
      </c>
      <c r="I95" s="13">
        <f t="shared" si="89"/>
        <v>1.101862821708552</v>
      </c>
      <c r="J95" s="31">
        <f t="shared" si="112"/>
        <v>1.8141335533072469</v>
      </c>
      <c r="K95" s="7">
        <f>MAX($J$2:J95)</f>
        <v>1.8141335533072469</v>
      </c>
      <c r="L95" s="13">
        <f t="shared" si="90"/>
        <v>0</v>
      </c>
      <c r="M95" s="12">
        <f t="shared" si="113"/>
        <v>3.9972249617548283</v>
      </c>
      <c r="N95" s="7">
        <f>MAX($M$2:M95)</f>
        <v>4.8653317765742257</v>
      </c>
      <c r="O95" s="39">
        <f t="shared" si="91"/>
        <v>-0.17842705383406518</v>
      </c>
      <c r="P95" s="31">
        <f t="shared" si="92"/>
        <v>5.2668727235003203E-2</v>
      </c>
      <c r="Q95" s="13" t="str">
        <f t="shared" si="93"/>
        <v xml:space="preserve"> </v>
      </c>
      <c r="R95" s="31" t="str">
        <f t="shared" si="94"/>
        <v xml:space="preserve"> </v>
      </c>
      <c r="S95" s="39">
        <f t="shared" si="95"/>
        <v>-0.15467848397021899</v>
      </c>
      <c r="T95" s="31">
        <f t="shared" si="96"/>
        <v>4.7268727235003132E-2</v>
      </c>
      <c r="U95" s="39">
        <f t="shared" si="97"/>
        <v>-0.16007848397021907</v>
      </c>
      <c r="V95" s="17">
        <f t="shared" si="98"/>
        <v>9.646282170855193E-2</v>
      </c>
      <c r="W95" s="31">
        <f t="shared" si="99"/>
        <v>0</v>
      </c>
      <c r="X95" s="39">
        <f t="shared" si="100"/>
        <v>0</v>
      </c>
      <c r="Y95" s="16">
        <f t="shared" si="101"/>
        <v>-0.16007848397021907</v>
      </c>
      <c r="Z95" s="39">
        <f t="shared" si="100"/>
        <v>2.5625121030203681E-2</v>
      </c>
      <c r="AA95" s="16">
        <f t="shared" si="102"/>
        <v>0</v>
      </c>
      <c r="AB95" s="13">
        <f t="shared" ref="AB95" si="141">AA95^2</f>
        <v>0</v>
      </c>
      <c r="AC95" s="33">
        <f t="shared" si="104"/>
        <v>0</v>
      </c>
      <c r="AD95" s="39">
        <f t="shared" si="105"/>
        <v>0</v>
      </c>
      <c r="AE95" s="16">
        <f t="shared" si="106"/>
        <v>-0.15467848397021899</v>
      </c>
      <c r="AF95" s="39">
        <f t="shared" si="107"/>
        <v>2.3925433403325293E-2</v>
      </c>
      <c r="AG95" s="16">
        <f t="shared" si="108"/>
        <v>0</v>
      </c>
      <c r="AH95" s="39">
        <f t="shared" si="109"/>
        <v>0</v>
      </c>
      <c r="AI95" s="31">
        <f t="shared" si="110"/>
        <v>0.20734721120522226</v>
      </c>
      <c r="AJ95" s="13">
        <f t="shared" si="111"/>
        <v>0.25654130567877098</v>
      </c>
    </row>
    <row r="96" spans="1:36" x14ac:dyDescent="0.25">
      <c r="A96" s="29">
        <v>43405</v>
      </c>
      <c r="B96" s="12">
        <v>2.8365990195276101E-2</v>
      </c>
      <c r="C96" s="7">
        <v>4.8999999999999001E-3</v>
      </c>
      <c r="D96" s="7">
        <v>6.0375149997530603E-2</v>
      </c>
      <c r="E96" s="13">
        <v>2.3792093704245901E-2</v>
      </c>
      <c r="F96" s="31">
        <f t="shared" si="89"/>
        <v>1.0283659901952762</v>
      </c>
      <c r="G96" s="7">
        <f t="shared" si="89"/>
        <v>1.0048999999999999</v>
      </c>
      <c r="H96" s="7">
        <f t="shared" si="89"/>
        <v>1.0603751499975307</v>
      </c>
      <c r="I96" s="13">
        <f t="shared" si="89"/>
        <v>1.023792093704246</v>
      </c>
      <c r="J96" s="31">
        <f t="shared" si="112"/>
        <v>1.8655932478932817</v>
      </c>
      <c r="K96" s="7">
        <f>MAX($J$2:J96)</f>
        <v>1.8655932478932817</v>
      </c>
      <c r="L96" s="13">
        <f t="shared" si="90"/>
        <v>0</v>
      </c>
      <c r="M96" s="12">
        <f t="shared" si="113"/>
        <v>4.2385580183946496</v>
      </c>
      <c r="N96" s="7">
        <f>MAX($M$2:M96)</f>
        <v>4.8653317765742257</v>
      </c>
      <c r="O96" s="39">
        <f t="shared" si="91"/>
        <v>-0.12882446397538372</v>
      </c>
      <c r="P96" s="31">
        <f t="shared" si="92"/>
        <v>2.8365990195276101E-2</v>
      </c>
      <c r="Q96" s="13" t="str">
        <f t="shared" si="93"/>
        <v xml:space="preserve"> </v>
      </c>
      <c r="R96" s="31">
        <f t="shared" si="94"/>
        <v>6.0375149997530603E-2</v>
      </c>
      <c r="S96" s="39" t="str">
        <f t="shared" si="95"/>
        <v xml:space="preserve"> </v>
      </c>
      <c r="T96" s="31">
        <f t="shared" si="96"/>
        <v>2.3465990195276201E-2</v>
      </c>
      <c r="U96" s="39">
        <f t="shared" si="97"/>
        <v>5.5475149997530705E-2</v>
      </c>
      <c r="V96" s="17">
        <f t="shared" si="98"/>
        <v>1.8892093704246E-2</v>
      </c>
      <c r="W96" s="31">
        <f t="shared" si="99"/>
        <v>0</v>
      </c>
      <c r="X96" s="39">
        <f t="shared" si="100"/>
        <v>0</v>
      </c>
      <c r="Y96" s="16">
        <f t="shared" si="101"/>
        <v>0</v>
      </c>
      <c r="Z96" s="39">
        <f t="shared" si="100"/>
        <v>0</v>
      </c>
      <c r="AA96" s="16">
        <f t="shared" si="102"/>
        <v>0</v>
      </c>
      <c r="AB96" s="13">
        <f t="shared" ref="AB96" si="142">AA96^2</f>
        <v>0</v>
      </c>
      <c r="AC96" s="33">
        <f t="shared" si="104"/>
        <v>0</v>
      </c>
      <c r="AD96" s="39">
        <f t="shared" si="105"/>
        <v>0</v>
      </c>
      <c r="AE96" s="16">
        <f t="shared" si="106"/>
        <v>0</v>
      </c>
      <c r="AF96" s="39">
        <f t="shared" si="107"/>
        <v>0</v>
      </c>
      <c r="AG96" s="16">
        <f t="shared" si="108"/>
        <v>0</v>
      </c>
      <c r="AH96" s="39">
        <f t="shared" si="109"/>
        <v>0</v>
      </c>
      <c r="AI96" s="31">
        <f t="shared" si="110"/>
        <v>-3.2009159802254494E-2</v>
      </c>
      <c r="AJ96" s="13">
        <f t="shared" si="111"/>
        <v>-3.6583056293284733E-2</v>
      </c>
    </row>
    <row r="97" spans="1:36" x14ac:dyDescent="0.25">
      <c r="A97" s="29">
        <v>43435</v>
      </c>
      <c r="B97" s="12">
        <v>-6.0588057090659097E-3</v>
      </c>
      <c r="C97" s="7">
        <v>4.8999999999999001E-3</v>
      </c>
      <c r="D97" s="7">
        <v>-7.3908556512949405E-2</v>
      </c>
      <c r="E97" s="13">
        <v>-1.8066231676796499E-2</v>
      </c>
      <c r="F97" s="31">
        <f t="shared" si="89"/>
        <v>0.99394119429093408</v>
      </c>
      <c r="G97" s="7">
        <f t="shared" si="89"/>
        <v>1.0048999999999999</v>
      </c>
      <c r="H97" s="7">
        <f t="shared" si="89"/>
        <v>0.92609144348705064</v>
      </c>
      <c r="I97" s="13">
        <f t="shared" si="89"/>
        <v>0.98193376832320345</v>
      </c>
      <c r="J97" s="31">
        <f t="shared" si="112"/>
        <v>1.8542899808721511</v>
      </c>
      <c r="K97" s="7">
        <f>MAX($J$2:J97)</f>
        <v>1.8655932478932817</v>
      </c>
      <c r="L97" s="13">
        <f t="shared" si="90"/>
        <v>-6.0588057090658958E-3</v>
      </c>
      <c r="M97" s="12">
        <f t="shared" si="113"/>
        <v>3.9252923135587139</v>
      </c>
      <c r="N97" s="7">
        <f>MAX($M$2:M97)</f>
        <v>4.8653317765742257</v>
      </c>
      <c r="O97" s="39">
        <f t="shared" si="91"/>
        <v>-0.19321179031235805</v>
      </c>
      <c r="P97" s="31" t="str">
        <f t="shared" si="92"/>
        <v xml:space="preserve"> </v>
      </c>
      <c r="Q97" s="13">
        <f t="shared" si="93"/>
        <v>-6.0588057090659097E-3</v>
      </c>
      <c r="R97" s="31" t="str">
        <f t="shared" si="94"/>
        <v xml:space="preserve"> </v>
      </c>
      <c r="S97" s="39">
        <f t="shared" si="95"/>
        <v>-7.3908556512949405E-2</v>
      </c>
      <c r="T97" s="31">
        <f t="shared" si="96"/>
        <v>-1.095880570906581E-2</v>
      </c>
      <c r="U97" s="39">
        <f t="shared" si="97"/>
        <v>-7.880855651294931E-2</v>
      </c>
      <c r="V97" s="17">
        <f t="shared" si="98"/>
        <v>-2.29662316767964E-2</v>
      </c>
      <c r="W97" s="31">
        <f t="shared" si="99"/>
        <v>-1.095880570906581E-2</v>
      </c>
      <c r="X97" s="39">
        <f t="shared" si="100"/>
        <v>1.2009542256905339E-4</v>
      </c>
      <c r="Y97" s="16">
        <f t="shared" si="101"/>
        <v>-7.880855651294931E-2</v>
      </c>
      <c r="Z97" s="39">
        <f t="shared" si="100"/>
        <v>6.2107885796547253E-3</v>
      </c>
      <c r="AA97" s="16">
        <f t="shared" si="102"/>
        <v>-2.29662316767964E-2</v>
      </c>
      <c r="AB97" s="13">
        <f t="shared" ref="AB97" si="143">AA97^2</f>
        <v>5.2744779743228644E-4</v>
      </c>
      <c r="AC97" s="33">
        <f t="shared" si="104"/>
        <v>-6.0588057090659097E-3</v>
      </c>
      <c r="AD97" s="39">
        <f t="shared" si="105"/>
        <v>3.6709126620209662E-5</v>
      </c>
      <c r="AE97" s="16">
        <f t="shared" si="106"/>
        <v>-7.3908556512949405E-2</v>
      </c>
      <c r="AF97" s="39">
        <f t="shared" si="107"/>
        <v>5.4624747258278364E-3</v>
      </c>
      <c r="AG97" s="16">
        <f t="shared" si="108"/>
        <v>-1.8066231676796499E-2</v>
      </c>
      <c r="AH97" s="39">
        <f t="shared" si="109"/>
        <v>3.2638872699968527E-4</v>
      </c>
      <c r="AI97" s="31">
        <f t="shared" si="110"/>
        <v>6.7849750803883446E-2</v>
      </c>
      <c r="AJ97" s="13">
        <f t="shared" si="111"/>
        <v>5.5842324836152812E-2</v>
      </c>
    </row>
    <row r="98" spans="1:36" x14ac:dyDescent="0.25">
      <c r="A98" s="29">
        <v>43466</v>
      </c>
      <c r="B98" s="12">
        <v>5.8449715234484702E-2</v>
      </c>
      <c r="C98" s="7">
        <v>5.4000000000000697E-3</v>
      </c>
      <c r="D98" s="7">
        <v>3.4054613179711202E-2</v>
      </c>
      <c r="E98" s="13">
        <v>0.10817299486841001</v>
      </c>
      <c r="F98" s="31">
        <f t="shared" si="89"/>
        <v>1.0584497152344847</v>
      </c>
      <c r="G98" s="7">
        <f t="shared" si="89"/>
        <v>1.0054000000000001</v>
      </c>
      <c r="H98" s="7">
        <f t="shared" si="89"/>
        <v>1.0340546131797113</v>
      </c>
      <c r="I98" s="13">
        <f t="shared" si="89"/>
        <v>1.10817299486841</v>
      </c>
      <c r="J98" s="31">
        <f t="shared" si="112"/>
        <v>1.9626727022162864</v>
      </c>
      <c r="K98" s="7">
        <f>MAX($J$2:J98)</f>
        <v>1.9626727022162864</v>
      </c>
      <c r="L98" s="13">
        <f t="shared" si="90"/>
        <v>0</v>
      </c>
      <c r="M98" s="12">
        <f t="shared" si="113"/>
        <v>4.05896662491425</v>
      </c>
      <c r="N98" s="7">
        <f>MAX($M$2:M98)</f>
        <v>4.8653317765742257</v>
      </c>
      <c r="O98" s="39">
        <f t="shared" si="91"/>
        <v>-0.16573692991349359</v>
      </c>
      <c r="P98" s="31">
        <f t="shared" si="92"/>
        <v>5.8449715234484702E-2</v>
      </c>
      <c r="Q98" s="13" t="str">
        <f t="shared" si="93"/>
        <v xml:space="preserve"> </v>
      </c>
      <c r="R98" s="31">
        <f t="shared" si="94"/>
        <v>3.4054613179711202E-2</v>
      </c>
      <c r="S98" s="39" t="str">
        <f t="shared" si="95"/>
        <v xml:space="preserve"> </v>
      </c>
      <c r="T98" s="31">
        <f t="shared" si="96"/>
        <v>5.304971523448463E-2</v>
      </c>
      <c r="U98" s="39">
        <f t="shared" si="97"/>
        <v>2.865461317971113E-2</v>
      </c>
      <c r="V98" s="17">
        <f t="shared" si="98"/>
        <v>0.10277299486840993</v>
      </c>
      <c r="W98" s="31">
        <f t="shared" si="99"/>
        <v>0</v>
      </c>
      <c r="X98" s="39">
        <f t="shared" si="100"/>
        <v>0</v>
      </c>
      <c r="Y98" s="16">
        <f t="shared" si="101"/>
        <v>0</v>
      </c>
      <c r="Z98" s="39">
        <f t="shared" si="100"/>
        <v>0</v>
      </c>
      <c r="AA98" s="16">
        <f t="shared" si="102"/>
        <v>0</v>
      </c>
      <c r="AB98" s="13">
        <f t="shared" ref="AB98" si="144">AA98^2</f>
        <v>0</v>
      </c>
      <c r="AC98" s="33">
        <f t="shared" si="104"/>
        <v>0</v>
      </c>
      <c r="AD98" s="39">
        <f t="shared" si="105"/>
        <v>0</v>
      </c>
      <c r="AE98" s="16">
        <f t="shared" si="106"/>
        <v>0</v>
      </c>
      <c r="AF98" s="39">
        <f t="shared" si="107"/>
        <v>0</v>
      </c>
      <c r="AG98" s="16">
        <f t="shared" si="108"/>
        <v>0</v>
      </c>
      <c r="AH98" s="39">
        <f t="shared" si="109"/>
        <v>0</v>
      </c>
      <c r="AI98" s="31">
        <f t="shared" si="110"/>
        <v>2.4395102054773465E-2</v>
      </c>
      <c r="AJ98" s="13">
        <f t="shared" si="111"/>
        <v>7.4118381688698776E-2</v>
      </c>
    </row>
    <row r="99" spans="1:36" x14ac:dyDescent="0.25">
      <c r="A99" s="29">
        <v>43497</v>
      </c>
      <c r="B99" s="12">
        <v>-1.8921459153486901E-3</v>
      </c>
      <c r="C99" s="7">
        <v>4.8999999999999001E-3</v>
      </c>
      <c r="D99" s="7">
        <v>4.0969833545653603E-2</v>
      </c>
      <c r="E99" s="13">
        <v>-1.8584307041501401E-2</v>
      </c>
      <c r="F99" s="31">
        <f t="shared" si="89"/>
        <v>0.9981078540846513</v>
      </c>
      <c r="G99" s="7">
        <f t="shared" si="89"/>
        <v>1.0048999999999999</v>
      </c>
      <c r="H99" s="7">
        <f t="shared" si="89"/>
        <v>1.0409698335456536</v>
      </c>
      <c r="I99" s="13">
        <f t="shared" si="89"/>
        <v>0.98141569295849862</v>
      </c>
      <c r="J99" s="31">
        <f t="shared" si="112"/>
        <v>1.9589590390796214</v>
      </c>
      <c r="K99" s="7">
        <f>MAX($J$2:J99)</f>
        <v>1.9626727022162864</v>
      </c>
      <c r="L99" s="13">
        <f t="shared" si="90"/>
        <v>-1.892145915348725E-3</v>
      </c>
      <c r="M99" s="12">
        <f t="shared" si="113"/>
        <v>4.2252618119043506</v>
      </c>
      <c r="N99" s="7">
        <f>MAX($M$2:M99)</f>
        <v>4.8653317765742257</v>
      </c>
      <c r="O99" s="39">
        <f t="shared" si="91"/>
        <v>-0.1315573107987634</v>
      </c>
      <c r="P99" s="31" t="str">
        <f t="shared" si="92"/>
        <v xml:space="preserve"> </v>
      </c>
      <c r="Q99" s="13">
        <f t="shared" si="93"/>
        <v>-1.8921459153486901E-3</v>
      </c>
      <c r="R99" s="31">
        <f t="shared" si="94"/>
        <v>4.0969833545653603E-2</v>
      </c>
      <c r="S99" s="39" t="str">
        <f t="shared" si="95"/>
        <v xml:space="preserve"> </v>
      </c>
      <c r="T99" s="31">
        <f t="shared" si="96"/>
        <v>-6.7921459153485898E-3</v>
      </c>
      <c r="U99" s="39">
        <f t="shared" si="97"/>
        <v>3.6069833545653705E-2</v>
      </c>
      <c r="V99" s="17">
        <f t="shared" si="98"/>
        <v>-2.3484307041501302E-2</v>
      </c>
      <c r="W99" s="31">
        <f t="shared" si="99"/>
        <v>-6.7921459153485898E-3</v>
      </c>
      <c r="X99" s="39">
        <f t="shared" si="100"/>
        <v>4.6133246135386534E-5</v>
      </c>
      <c r="Y99" s="16">
        <f t="shared" si="101"/>
        <v>0</v>
      </c>
      <c r="Z99" s="39">
        <f t="shared" si="100"/>
        <v>0</v>
      </c>
      <c r="AA99" s="16">
        <f t="shared" si="102"/>
        <v>-2.3484307041501302E-2</v>
      </c>
      <c r="AB99" s="13">
        <f t="shared" ref="AB99" si="145">AA99^2</f>
        <v>5.5151267721950767E-4</v>
      </c>
      <c r="AC99" s="33">
        <f t="shared" si="104"/>
        <v>-1.8921459153486901E-3</v>
      </c>
      <c r="AD99" s="39">
        <f t="shared" si="105"/>
        <v>3.5802161649707322E-6</v>
      </c>
      <c r="AE99" s="16">
        <f t="shared" si="106"/>
        <v>0</v>
      </c>
      <c r="AF99" s="39">
        <f t="shared" si="107"/>
        <v>0</v>
      </c>
      <c r="AG99" s="16">
        <f t="shared" si="108"/>
        <v>-1.8584307041501401E-2</v>
      </c>
      <c r="AH99" s="39">
        <f t="shared" si="109"/>
        <v>3.4537646821279855E-4</v>
      </c>
      <c r="AI99" s="31">
        <f t="shared" si="110"/>
        <v>-4.2861979461002342E-2</v>
      </c>
      <c r="AJ99" s="13">
        <f t="shared" si="111"/>
        <v>-5.9554140587155024E-2</v>
      </c>
    </row>
    <row r="100" spans="1:36" x14ac:dyDescent="0.25">
      <c r="A100" s="29">
        <v>43525</v>
      </c>
      <c r="B100" s="12">
        <v>1.07275126565173E-2</v>
      </c>
      <c r="C100" s="7">
        <v>4.6999999999999204E-3</v>
      </c>
      <c r="D100" s="7">
        <v>5.9222539721170503E-2</v>
      </c>
      <c r="E100" s="13">
        <v>-1.7680783394710101E-3</v>
      </c>
      <c r="F100" s="31">
        <f t="shared" si="89"/>
        <v>1.0107275126565174</v>
      </c>
      <c r="G100" s="7">
        <f t="shared" si="89"/>
        <v>1.0046999999999999</v>
      </c>
      <c r="H100" s="7">
        <f t="shared" si="89"/>
        <v>1.0592225397211705</v>
      </c>
      <c r="I100" s="13">
        <f t="shared" si="89"/>
        <v>0.99823192166052899</v>
      </c>
      <c r="J100" s="31">
        <f t="shared" si="112"/>
        <v>1.9799737969649471</v>
      </c>
      <c r="K100" s="7">
        <f>MAX($J$2:J100)</f>
        <v>1.9799737969649471</v>
      </c>
      <c r="L100" s="13">
        <f t="shared" si="90"/>
        <v>0</v>
      </c>
      <c r="M100" s="12">
        <f t="shared" si="113"/>
        <v>4.4754925473922009</v>
      </c>
      <c r="N100" s="7">
        <f>MAX($M$2:M100)</f>
        <v>4.8653317765742257</v>
      </c>
      <c r="O100" s="39">
        <f t="shared" si="91"/>
        <v>-8.0125929141983007E-2</v>
      </c>
      <c r="P100" s="31">
        <f t="shared" si="92"/>
        <v>1.07275126565173E-2</v>
      </c>
      <c r="Q100" s="13" t="str">
        <f t="shared" si="93"/>
        <v xml:space="preserve"> </v>
      </c>
      <c r="R100" s="31">
        <f t="shared" si="94"/>
        <v>5.9222539721170503E-2</v>
      </c>
      <c r="S100" s="39" t="str">
        <f t="shared" si="95"/>
        <v xml:space="preserve"> </v>
      </c>
      <c r="T100" s="31">
        <f t="shared" si="96"/>
        <v>6.02751265651738E-3</v>
      </c>
      <c r="U100" s="39">
        <f t="shared" si="97"/>
        <v>5.4522539721170583E-2</v>
      </c>
      <c r="V100" s="17">
        <f t="shared" si="98"/>
        <v>-6.4680783394709309E-3</v>
      </c>
      <c r="W100" s="31">
        <f t="shared" si="99"/>
        <v>0</v>
      </c>
      <c r="X100" s="39">
        <f t="shared" si="100"/>
        <v>0</v>
      </c>
      <c r="Y100" s="16">
        <f t="shared" si="101"/>
        <v>0</v>
      </c>
      <c r="Z100" s="39">
        <f t="shared" si="100"/>
        <v>0</v>
      </c>
      <c r="AA100" s="16">
        <f t="shared" si="102"/>
        <v>-6.4680783394709309E-3</v>
      </c>
      <c r="AB100" s="13">
        <f t="shared" ref="AB100" si="146">AA100^2</f>
        <v>4.1836037405533034E-5</v>
      </c>
      <c r="AC100" s="33">
        <f t="shared" si="104"/>
        <v>0</v>
      </c>
      <c r="AD100" s="39">
        <f t="shared" si="105"/>
        <v>0</v>
      </c>
      <c r="AE100" s="16">
        <f t="shared" si="106"/>
        <v>0</v>
      </c>
      <c r="AF100" s="39">
        <f t="shared" si="107"/>
        <v>0</v>
      </c>
      <c r="AG100" s="16">
        <f t="shared" si="108"/>
        <v>-1.7680783394710101E-3</v>
      </c>
      <c r="AH100" s="39">
        <f t="shared" si="109"/>
        <v>3.1261010145065643E-6</v>
      </c>
      <c r="AI100" s="31">
        <f t="shared" si="110"/>
        <v>-4.849502706465314E-2</v>
      </c>
      <c r="AJ100" s="13">
        <f t="shared" si="111"/>
        <v>-6.0990618060641544E-2</v>
      </c>
    </row>
    <row r="101" spans="1:36" x14ac:dyDescent="0.25">
      <c r="A101" s="29">
        <v>43556</v>
      </c>
      <c r="B101" s="12">
        <v>1.07349991580547E-2</v>
      </c>
      <c r="C101" s="7">
        <v>5.20000000000009E-3</v>
      </c>
      <c r="D101" s="7">
        <v>4.4740120743752297E-2</v>
      </c>
      <c r="E101" s="13">
        <v>9.8307394015615304E-3</v>
      </c>
      <c r="F101" s="31">
        <f t="shared" si="89"/>
        <v>1.0107349991580548</v>
      </c>
      <c r="G101" s="7">
        <f t="shared" si="89"/>
        <v>1.0052000000000001</v>
      </c>
      <c r="H101" s="7">
        <f t="shared" si="89"/>
        <v>1.0447401207437523</v>
      </c>
      <c r="I101" s="13">
        <f t="shared" si="89"/>
        <v>1.0098307394015615</v>
      </c>
      <c r="J101" s="31">
        <f t="shared" si="112"/>
        <v>2.0012288140083365</v>
      </c>
      <c r="K101" s="7">
        <f>MAX($J$2:J101)</f>
        <v>2.0012288140083365</v>
      </c>
      <c r="L101" s="13">
        <f t="shared" si="90"/>
        <v>0</v>
      </c>
      <c r="M101" s="12">
        <f t="shared" si="113"/>
        <v>4.6757266243502915</v>
      </c>
      <c r="N101" s="7">
        <f>MAX($M$2:M101)</f>
        <v>4.8653317765742257</v>
      </c>
      <c r="O101" s="39">
        <f t="shared" si="91"/>
        <v>-3.8970652142748384E-2</v>
      </c>
      <c r="P101" s="31">
        <f t="shared" si="92"/>
        <v>1.07349991580547E-2</v>
      </c>
      <c r="Q101" s="13" t="str">
        <f t="shared" si="93"/>
        <v xml:space="preserve"> </v>
      </c>
      <c r="R101" s="31">
        <f t="shared" si="94"/>
        <v>4.4740120743752297E-2</v>
      </c>
      <c r="S101" s="39" t="str">
        <f t="shared" si="95"/>
        <v xml:space="preserve"> </v>
      </c>
      <c r="T101" s="31">
        <f t="shared" si="96"/>
        <v>5.5349991580546098E-3</v>
      </c>
      <c r="U101" s="39">
        <f t="shared" si="97"/>
        <v>3.9540120743752211E-2</v>
      </c>
      <c r="V101" s="17">
        <f t="shared" si="98"/>
        <v>4.6307394015614404E-3</v>
      </c>
      <c r="W101" s="31">
        <f t="shared" si="99"/>
        <v>0</v>
      </c>
      <c r="X101" s="39">
        <f t="shared" si="100"/>
        <v>0</v>
      </c>
      <c r="Y101" s="16">
        <f t="shared" si="101"/>
        <v>0</v>
      </c>
      <c r="Z101" s="39">
        <f t="shared" si="100"/>
        <v>0</v>
      </c>
      <c r="AA101" s="16">
        <f t="shared" si="102"/>
        <v>0</v>
      </c>
      <c r="AB101" s="13">
        <f t="shared" ref="AB101" si="147">AA101^2</f>
        <v>0</v>
      </c>
      <c r="AC101" s="33">
        <f t="shared" si="104"/>
        <v>0</v>
      </c>
      <c r="AD101" s="39">
        <f t="shared" si="105"/>
        <v>0</v>
      </c>
      <c r="AE101" s="16">
        <f t="shared" si="106"/>
        <v>0</v>
      </c>
      <c r="AF101" s="39">
        <f t="shared" si="107"/>
        <v>0</v>
      </c>
      <c r="AG101" s="16">
        <f t="shared" si="108"/>
        <v>0</v>
      </c>
      <c r="AH101" s="39">
        <f t="shared" si="109"/>
        <v>0</v>
      </c>
      <c r="AI101" s="31">
        <f t="shared" si="110"/>
        <v>-3.4005121585697573E-2</v>
      </c>
      <c r="AJ101" s="13">
        <f t="shared" si="111"/>
        <v>-3.4909381342190793E-2</v>
      </c>
    </row>
    <row r="102" spans="1:36" x14ac:dyDescent="0.25">
      <c r="A102" s="29">
        <v>43586</v>
      </c>
      <c r="B102" s="12">
        <v>1.6033737259255099E-2</v>
      </c>
      <c r="C102" s="7">
        <v>5.4000000000000697E-3</v>
      </c>
      <c r="D102" s="7">
        <v>-5.1190942630800901E-2</v>
      </c>
      <c r="E102" s="13">
        <v>7.0262472367232896E-3</v>
      </c>
      <c r="F102" s="31">
        <f t="shared" si="89"/>
        <v>1.0160337372592552</v>
      </c>
      <c r="G102" s="7">
        <f t="shared" si="89"/>
        <v>1.0054000000000001</v>
      </c>
      <c r="H102" s="7">
        <f t="shared" si="89"/>
        <v>0.94880905736919907</v>
      </c>
      <c r="I102" s="13">
        <f t="shared" si="89"/>
        <v>1.0070262472367233</v>
      </c>
      <c r="J102" s="31">
        <f t="shared" si="112"/>
        <v>2.0333159910077971</v>
      </c>
      <c r="K102" s="7">
        <f>MAX($J$2:J102)</f>
        <v>2.0333159910077971</v>
      </c>
      <c r="L102" s="13">
        <f t="shared" si="90"/>
        <v>0</v>
      </c>
      <c r="M102" s="12">
        <f t="shared" si="113"/>
        <v>4.4363717709658674</v>
      </c>
      <c r="N102" s="7">
        <f>MAX($M$2:M102)</f>
        <v>4.8653317765742257</v>
      </c>
      <c r="O102" s="39">
        <f t="shared" si="91"/>
        <v>-8.8166650355424939E-2</v>
      </c>
      <c r="P102" s="31">
        <f t="shared" si="92"/>
        <v>1.6033737259255099E-2</v>
      </c>
      <c r="Q102" s="13" t="str">
        <f t="shared" si="93"/>
        <v xml:space="preserve"> </v>
      </c>
      <c r="R102" s="31" t="str">
        <f t="shared" si="94"/>
        <v xml:space="preserve"> </v>
      </c>
      <c r="S102" s="39">
        <f t="shared" si="95"/>
        <v>-5.1190942630800901E-2</v>
      </c>
      <c r="T102" s="31">
        <f t="shared" si="96"/>
        <v>1.063373725925503E-2</v>
      </c>
      <c r="U102" s="39">
        <f t="shared" si="97"/>
        <v>-5.6590942630800972E-2</v>
      </c>
      <c r="V102" s="17">
        <f t="shared" si="98"/>
        <v>1.62624723672322E-3</v>
      </c>
      <c r="W102" s="31">
        <f t="shared" si="99"/>
        <v>0</v>
      </c>
      <c r="X102" s="39">
        <f t="shared" si="100"/>
        <v>0</v>
      </c>
      <c r="Y102" s="16">
        <f t="shared" si="101"/>
        <v>-5.6590942630800972E-2</v>
      </c>
      <c r="Z102" s="39">
        <f t="shared" si="100"/>
        <v>3.2025347878426071E-3</v>
      </c>
      <c r="AA102" s="16">
        <f t="shared" si="102"/>
        <v>0</v>
      </c>
      <c r="AB102" s="13">
        <f t="shared" ref="AB102" si="148">AA102^2</f>
        <v>0</v>
      </c>
      <c r="AC102" s="33">
        <f t="shared" si="104"/>
        <v>0</v>
      </c>
      <c r="AD102" s="39">
        <f t="shared" si="105"/>
        <v>0</v>
      </c>
      <c r="AE102" s="16">
        <f t="shared" si="106"/>
        <v>-5.1190942630800901E-2</v>
      </c>
      <c r="AF102" s="39">
        <f t="shared" si="107"/>
        <v>2.620512607429949E-3</v>
      </c>
      <c r="AG102" s="16">
        <f t="shared" si="108"/>
        <v>0</v>
      </c>
      <c r="AH102" s="39">
        <f t="shared" si="109"/>
        <v>0</v>
      </c>
      <c r="AI102" s="31">
        <f t="shared" si="110"/>
        <v>6.7224679890056094E-2</v>
      </c>
      <c r="AJ102" s="13">
        <f t="shared" si="111"/>
        <v>5.8217189867524222E-2</v>
      </c>
    </row>
    <row r="103" spans="1:36" x14ac:dyDescent="0.25">
      <c r="A103" s="29">
        <v>43617</v>
      </c>
      <c r="B103" s="12">
        <v>4.6765428434653901E-2</v>
      </c>
      <c r="C103" s="7">
        <v>4.6999999999999204E-3</v>
      </c>
      <c r="D103" s="7">
        <v>1.2262585237273501E-2</v>
      </c>
      <c r="E103" s="13">
        <v>4.0575079872204399E-2</v>
      </c>
      <c r="F103" s="31">
        <f t="shared" si="89"/>
        <v>1.0467654284346539</v>
      </c>
      <c r="G103" s="7">
        <f t="shared" si="89"/>
        <v>1.0046999999999999</v>
      </c>
      <c r="H103" s="7">
        <f t="shared" si="89"/>
        <v>1.0122625852372735</v>
      </c>
      <c r="I103" s="13">
        <f t="shared" si="89"/>
        <v>1.0405750798722044</v>
      </c>
      <c r="J103" s="31">
        <f t="shared" si="112"/>
        <v>2.1284048844703096</v>
      </c>
      <c r="K103" s="7">
        <f>MAX($J$2:J103)</f>
        <v>2.1284048844703096</v>
      </c>
      <c r="L103" s="13">
        <f t="shared" si="90"/>
        <v>0</v>
      </c>
      <c r="M103" s="12">
        <f t="shared" si="113"/>
        <v>4.4907731579515708</v>
      </c>
      <c r="N103" s="7">
        <f>MAX($M$2:M103)</f>
        <v>4.8653317765742257</v>
      </c>
      <c r="O103" s="39">
        <f t="shared" si="91"/>
        <v>-7.6985216183219643E-2</v>
      </c>
      <c r="P103" s="31">
        <f t="shared" si="92"/>
        <v>4.6765428434653901E-2</v>
      </c>
      <c r="Q103" s="13" t="str">
        <f t="shared" si="93"/>
        <v xml:space="preserve"> </v>
      </c>
      <c r="R103" s="31">
        <f t="shared" si="94"/>
        <v>1.2262585237273501E-2</v>
      </c>
      <c r="S103" s="39" t="str">
        <f t="shared" si="95"/>
        <v xml:space="preserve"> </v>
      </c>
      <c r="T103" s="31">
        <f t="shared" si="96"/>
        <v>4.2065428434653981E-2</v>
      </c>
      <c r="U103" s="39">
        <f t="shared" si="97"/>
        <v>7.5625852372735803E-3</v>
      </c>
      <c r="V103" s="17">
        <f t="shared" si="98"/>
        <v>3.5875079872204479E-2</v>
      </c>
      <c r="W103" s="31">
        <f t="shared" si="99"/>
        <v>0</v>
      </c>
      <c r="X103" s="39">
        <f t="shared" si="100"/>
        <v>0</v>
      </c>
      <c r="Y103" s="16">
        <f t="shared" si="101"/>
        <v>0</v>
      </c>
      <c r="Z103" s="39">
        <f t="shared" si="100"/>
        <v>0</v>
      </c>
      <c r="AA103" s="16">
        <f t="shared" si="102"/>
        <v>0</v>
      </c>
      <c r="AB103" s="13">
        <f t="shared" ref="AB103" si="149">AA103^2</f>
        <v>0</v>
      </c>
      <c r="AC103" s="33">
        <f t="shared" si="104"/>
        <v>0</v>
      </c>
      <c r="AD103" s="39">
        <f t="shared" si="105"/>
        <v>0</v>
      </c>
      <c r="AE103" s="16">
        <f t="shared" si="106"/>
        <v>0</v>
      </c>
      <c r="AF103" s="39">
        <f t="shared" si="107"/>
        <v>0</v>
      </c>
      <c r="AG103" s="16">
        <f t="shared" si="108"/>
        <v>0</v>
      </c>
      <c r="AH103" s="39">
        <f t="shared" si="109"/>
        <v>0</v>
      </c>
      <c r="AI103" s="31">
        <f t="shared" si="110"/>
        <v>3.4502843197380395E-2</v>
      </c>
      <c r="AJ103" s="13">
        <f t="shared" si="111"/>
        <v>2.8312494634930907E-2</v>
      </c>
    </row>
    <row r="104" spans="1:36" x14ac:dyDescent="0.25">
      <c r="A104" s="29">
        <v>43647</v>
      </c>
      <c r="B104" s="12">
        <v>6.1820566676444796E-3</v>
      </c>
      <c r="C104" s="7">
        <v>5.7000000000000297E-3</v>
      </c>
      <c r="D104" s="7">
        <v>4.6557377384837101E-4</v>
      </c>
      <c r="E104" s="13">
        <v>8.3690710826309599E-3</v>
      </c>
      <c r="F104" s="31">
        <f t="shared" si="89"/>
        <v>1.0061820566676445</v>
      </c>
      <c r="G104" s="7">
        <f t="shared" si="89"/>
        <v>1.0057</v>
      </c>
      <c r="H104" s="7">
        <f t="shared" si="89"/>
        <v>1.0004655737738484</v>
      </c>
      <c r="I104" s="13">
        <f t="shared" si="89"/>
        <v>1.008369071082631</v>
      </c>
      <c r="J104" s="31">
        <f t="shared" si="112"/>
        <v>2.1415628040777963</v>
      </c>
      <c r="K104" s="7">
        <f>MAX($J$2:J104)</f>
        <v>2.1415628040777963</v>
      </c>
      <c r="L104" s="13">
        <f t="shared" si="90"/>
        <v>0</v>
      </c>
      <c r="M104" s="12">
        <f t="shared" si="113"/>
        <v>4.4928639441582154</v>
      </c>
      <c r="N104" s="7">
        <f>MAX($M$2:M104)</f>
        <v>4.8653317765742257</v>
      </c>
      <c r="O104" s="39">
        <f t="shared" si="91"/>
        <v>-7.6555484707000201E-2</v>
      </c>
      <c r="P104" s="31">
        <f t="shared" si="92"/>
        <v>6.1820566676444796E-3</v>
      </c>
      <c r="Q104" s="13" t="str">
        <f t="shared" si="93"/>
        <v xml:space="preserve"> </v>
      </c>
      <c r="R104" s="31">
        <f t="shared" si="94"/>
        <v>4.6557377384837101E-4</v>
      </c>
      <c r="S104" s="39" t="str">
        <f t="shared" si="95"/>
        <v xml:space="preserve"> </v>
      </c>
      <c r="T104" s="31">
        <f t="shared" si="96"/>
        <v>4.8205666764444995E-4</v>
      </c>
      <c r="U104" s="39">
        <f t="shared" si="97"/>
        <v>-5.2344262261516585E-3</v>
      </c>
      <c r="V104" s="17">
        <f t="shared" si="98"/>
        <v>2.6690710826309302E-3</v>
      </c>
      <c r="W104" s="31">
        <f t="shared" si="99"/>
        <v>0</v>
      </c>
      <c r="X104" s="39">
        <f t="shared" si="100"/>
        <v>0</v>
      </c>
      <c r="Y104" s="16">
        <f t="shared" si="101"/>
        <v>-5.2344262261516585E-3</v>
      </c>
      <c r="Z104" s="39">
        <f t="shared" si="100"/>
        <v>2.7399217917024293E-5</v>
      </c>
      <c r="AA104" s="16">
        <f t="shared" si="102"/>
        <v>0</v>
      </c>
      <c r="AB104" s="13">
        <f t="shared" ref="AB104" si="150">AA104^2</f>
        <v>0</v>
      </c>
      <c r="AC104" s="33">
        <f t="shared" si="104"/>
        <v>0</v>
      </c>
      <c r="AD104" s="39">
        <f t="shared" si="105"/>
        <v>0</v>
      </c>
      <c r="AE104" s="16">
        <f t="shared" si="106"/>
        <v>0</v>
      </c>
      <c r="AF104" s="39">
        <f t="shared" si="107"/>
        <v>0</v>
      </c>
      <c r="AG104" s="16">
        <f t="shared" si="108"/>
        <v>0</v>
      </c>
      <c r="AH104" s="39">
        <f t="shared" si="109"/>
        <v>0</v>
      </c>
      <c r="AI104" s="31">
        <f t="shared" si="110"/>
        <v>5.7164828937961154E-3</v>
      </c>
      <c r="AJ104" s="13">
        <f t="shared" si="111"/>
        <v>7.9034973087825922E-3</v>
      </c>
    </row>
    <row r="105" spans="1:36" x14ac:dyDescent="0.25">
      <c r="A105" s="29">
        <v>43678</v>
      </c>
      <c r="B105" s="12">
        <v>-4.4999698634370297E-3</v>
      </c>
      <c r="C105" s="7">
        <v>4.9999999999998899E-3</v>
      </c>
      <c r="D105" s="7">
        <v>7.6841996623725706E-2</v>
      </c>
      <c r="E105" s="13">
        <v>-6.6495108631595603E-3</v>
      </c>
      <c r="F105" s="31">
        <f t="shared" si="89"/>
        <v>0.99550003013656296</v>
      </c>
      <c r="G105" s="7">
        <f t="shared" si="89"/>
        <v>1.0049999999999999</v>
      </c>
      <c r="H105" s="7">
        <f t="shared" si="89"/>
        <v>1.0768419966237257</v>
      </c>
      <c r="I105" s="13">
        <f t="shared" si="89"/>
        <v>0.99335048913684043</v>
      </c>
      <c r="J105" s="31">
        <f t="shared" si="112"/>
        <v>2.1319258359987887</v>
      </c>
      <c r="K105" s="7">
        <f>MAX($J$2:J105)</f>
        <v>2.1415628040777963</v>
      </c>
      <c r="L105" s="13">
        <f t="shared" si="90"/>
        <v>-4.4999698634369447E-3</v>
      </c>
      <c r="M105" s="12">
        <f t="shared" si="113"/>
        <v>4.83810458018608</v>
      </c>
      <c r="N105" s="7">
        <f>MAX($M$2:M105)</f>
        <v>4.8653317765742257</v>
      </c>
      <c r="O105" s="39">
        <f t="shared" si="91"/>
        <v>-5.596164380657475E-3</v>
      </c>
      <c r="P105" s="31" t="str">
        <f t="shared" si="92"/>
        <v xml:space="preserve"> </v>
      </c>
      <c r="Q105" s="13">
        <f t="shared" si="93"/>
        <v>-4.4999698634370297E-3</v>
      </c>
      <c r="R105" s="31">
        <f t="shared" si="94"/>
        <v>7.6841996623725706E-2</v>
      </c>
      <c r="S105" s="39" t="str">
        <f t="shared" si="95"/>
        <v xml:space="preserve"> </v>
      </c>
      <c r="T105" s="31">
        <f t="shared" si="96"/>
        <v>-9.4999698634369197E-3</v>
      </c>
      <c r="U105" s="39">
        <f t="shared" si="97"/>
        <v>7.1841996623725812E-2</v>
      </c>
      <c r="V105" s="17">
        <f t="shared" si="98"/>
        <v>-1.164951086315945E-2</v>
      </c>
      <c r="W105" s="31">
        <f t="shared" si="99"/>
        <v>-9.4999698634369197E-3</v>
      </c>
      <c r="X105" s="39">
        <f t="shared" si="100"/>
        <v>9.0249427406209691E-5</v>
      </c>
      <c r="Y105" s="16">
        <f t="shared" si="101"/>
        <v>0</v>
      </c>
      <c r="Z105" s="39">
        <f t="shared" si="100"/>
        <v>0</v>
      </c>
      <c r="AA105" s="16">
        <f t="shared" si="102"/>
        <v>-1.164951086315945E-2</v>
      </c>
      <c r="AB105" s="13">
        <f t="shared" ref="AB105" si="151">AA105^2</f>
        <v>1.3571110335087005E-4</v>
      </c>
      <c r="AC105" s="33">
        <f t="shared" si="104"/>
        <v>-4.4999698634370297E-3</v>
      </c>
      <c r="AD105" s="39">
        <f t="shared" si="105"/>
        <v>2.024972877184148E-5</v>
      </c>
      <c r="AE105" s="16">
        <f t="shared" si="106"/>
        <v>0</v>
      </c>
      <c r="AF105" s="39">
        <f t="shared" si="107"/>
        <v>0</v>
      </c>
      <c r="AG105" s="16">
        <f t="shared" si="108"/>
        <v>-6.6495108631595603E-3</v>
      </c>
      <c r="AH105" s="39">
        <f t="shared" si="109"/>
        <v>4.4215994719277002E-5</v>
      </c>
      <c r="AI105" s="31">
        <f t="shared" si="110"/>
        <v>-8.1341966487162742E-2</v>
      </c>
      <c r="AJ105" s="13">
        <f t="shared" si="111"/>
        <v>-8.3491507486885275E-2</v>
      </c>
    </row>
    <row r="106" spans="1:36" x14ac:dyDescent="0.25">
      <c r="A106" s="29">
        <v>43709</v>
      </c>
      <c r="B106" s="12">
        <v>2.8901559681138299E-2</v>
      </c>
      <c r="C106" s="7">
        <v>4.5999999999999297E-3</v>
      </c>
      <c r="D106" s="7">
        <v>1.41692242229254E-2</v>
      </c>
      <c r="E106" s="13">
        <v>3.5694863301527699E-2</v>
      </c>
      <c r="F106" s="31">
        <f t="shared" si="89"/>
        <v>1.0289015596811384</v>
      </c>
      <c r="G106" s="7">
        <f t="shared" si="89"/>
        <v>1.0045999999999999</v>
      </c>
      <c r="H106" s="7">
        <f t="shared" si="89"/>
        <v>1.0141692242229254</v>
      </c>
      <c r="I106" s="13">
        <f t="shared" si="89"/>
        <v>1.0356948633015277</v>
      </c>
      <c r="J106" s="31">
        <f t="shared" si="112"/>
        <v>2.1935418177836685</v>
      </c>
      <c r="K106" s="7">
        <f>MAX($J$2:J106)</f>
        <v>2.1935418177836685</v>
      </c>
      <c r="L106" s="13">
        <f t="shared" si="90"/>
        <v>0</v>
      </c>
      <c r="M106" s="12">
        <f t="shared" si="113"/>
        <v>4.9066567687966991</v>
      </c>
      <c r="N106" s="7">
        <f>MAX($M$2:M106)</f>
        <v>4.9066567687966991</v>
      </c>
      <c r="O106" s="39">
        <f t="shared" si="91"/>
        <v>0</v>
      </c>
      <c r="P106" s="31">
        <f t="shared" si="92"/>
        <v>2.8901559681138299E-2</v>
      </c>
      <c r="Q106" s="13" t="str">
        <f t="shared" si="93"/>
        <v xml:space="preserve"> </v>
      </c>
      <c r="R106" s="31">
        <f t="shared" si="94"/>
        <v>1.41692242229254E-2</v>
      </c>
      <c r="S106" s="39" t="str">
        <f t="shared" si="95"/>
        <v xml:space="preserve"> </v>
      </c>
      <c r="T106" s="31">
        <f t="shared" si="96"/>
        <v>2.4301559681138368E-2</v>
      </c>
      <c r="U106" s="39">
        <f t="shared" si="97"/>
        <v>9.5692242229254709E-3</v>
      </c>
      <c r="V106" s="17">
        <f t="shared" si="98"/>
        <v>3.1094863301527768E-2</v>
      </c>
      <c r="W106" s="31">
        <f t="shared" si="99"/>
        <v>0</v>
      </c>
      <c r="X106" s="39">
        <f t="shared" si="100"/>
        <v>0</v>
      </c>
      <c r="Y106" s="16">
        <f t="shared" si="101"/>
        <v>0</v>
      </c>
      <c r="Z106" s="39">
        <f t="shared" si="100"/>
        <v>0</v>
      </c>
      <c r="AA106" s="16">
        <f t="shared" si="102"/>
        <v>0</v>
      </c>
      <c r="AB106" s="13">
        <f t="shared" ref="AB106" si="152">AA106^2</f>
        <v>0</v>
      </c>
      <c r="AC106" s="33">
        <f t="shared" si="104"/>
        <v>0</v>
      </c>
      <c r="AD106" s="39">
        <f t="shared" si="105"/>
        <v>0</v>
      </c>
      <c r="AE106" s="16">
        <f t="shared" si="106"/>
        <v>0</v>
      </c>
      <c r="AF106" s="39">
        <f t="shared" si="107"/>
        <v>0</v>
      </c>
      <c r="AG106" s="16">
        <f t="shared" si="108"/>
        <v>0</v>
      </c>
      <c r="AH106" s="39">
        <f t="shared" si="109"/>
        <v>0</v>
      </c>
      <c r="AI106" s="31">
        <f t="shared" si="110"/>
        <v>1.4732335458212953E-2</v>
      </c>
      <c r="AJ106" s="13">
        <f t="shared" si="111"/>
        <v>2.1525639078602277E-2</v>
      </c>
    </row>
    <row r="107" spans="1:36" x14ac:dyDescent="0.25">
      <c r="A107" s="29">
        <v>43739</v>
      </c>
      <c r="B107" s="12">
        <v>3.0624288629275499E-2</v>
      </c>
      <c r="C107" s="7">
        <v>4.7999999999999102E-3</v>
      </c>
      <c r="D107" s="7">
        <v>-8.6326803904509496E-3</v>
      </c>
      <c r="E107" s="13">
        <v>2.3628812831161399E-2</v>
      </c>
      <c r="F107" s="31">
        <f t="shared" si="89"/>
        <v>1.0306242886292756</v>
      </c>
      <c r="G107" s="7">
        <f t="shared" si="89"/>
        <v>1.0047999999999999</v>
      </c>
      <c r="H107" s="7">
        <f t="shared" si="89"/>
        <v>0.99136731960954905</v>
      </c>
      <c r="I107" s="13">
        <f t="shared" si="89"/>
        <v>1.0236288128311615</v>
      </c>
      <c r="J107" s="31">
        <f t="shared" si="112"/>
        <v>2.2607174755318615</v>
      </c>
      <c r="K107" s="7">
        <f>MAX($J$2:J107)</f>
        <v>2.2607174755318615</v>
      </c>
      <c r="L107" s="13">
        <f t="shared" si="90"/>
        <v>0</v>
      </c>
      <c r="M107" s="12">
        <f t="shared" si="113"/>
        <v>4.864299169126034</v>
      </c>
      <c r="N107" s="7">
        <f>MAX($M$2:M107)</f>
        <v>4.9066567687966991</v>
      </c>
      <c r="O107" s="39">
        <f t="shared" si="91"/>
        <v>-8.6326803904510346E-3</v>
      </c>
      <c r="P107" s="31">
        <f t="shared" si="92"/>
        <v>3.0624288629275499E-2</v>
      </c>
      <c r="Q107" s="13" t="str">
        <f t="shared" si="93"/>
        <v xml:space="preserve"> </v>
      </c>
      <c r="R107" s="31" t="str">
        <f t="shared" si="94"/>
        <v xml:space="preserve"> </v>
      </c>
      <c r="S107" s="39">
        <f t="shared" si="95"/>
        <v>-8.6326803904509496E-3</v>
      </c>
      <c r="T107" s="31">
        <f t="shared" si="96"/>
        <v>2.5824288629275591E-2</v>
      </c>
      <c r="U107" s="39">
        <f t="shared" si="97"/>
        <v>-1.343268039045086E-2</v>
      </c>
      <c r="V107" s="17">
        <f t="shared" si="98"/>
        <v>1.8828812831161487E-2</v>
      </c>
      <c r="W107" s="31">
        <f t="shared" si="99"/>
        <v>0</v>
      </c>
      <c r="X107" s="39">
        <f t="shared" si="100"/>
        <v>0</v>
      </c>
      <c r="Y107" s="16">
        <f t="shared" si="101"/>
        <v>-1.343268039045086E-2</v>
      </c>
      <c r="Z107" s="39">
        <f t="shared" si="100"/>
        <v>1.8043690247200307E-4</v>
      </c>
      <c r="AA107" s="16">
        <f t="shared" si="102"/>
        <v>0</v>
      </c>
      <c r="AB107" s="13">
        <f t="shared" ref="AB107" si="153">AA107^2</f>
        <v>0</v>
      </c>
      <c r="AC107" s="33">
        <f t="shared" si="104"/>
        <v>0</v>
      </c>
      <c r="AD107" s="39">
        <f t="shared" si="105"/>
        <v>0</v>
      </c>
      <c r="AE107" s="16">
        <f t="shared" si="106"/>
        <v>-8.6326803904509496E-3</v>
      </c>
      <c r="AF107" s="39">
        <f t="shared" si="107"/>
        <v>7.4523170723676357E-5</v>
      </c>
      <c r="AG107" s="16">
        <f t="shared" si="108"/>
        <v>0</v>
      </c>
      <c r="AH107" s="39">
        <f t="shared" si="109"/>
        <v>0</v>
      </c>
      <c r="AI107" s="31">
        <f t="shared" si="110"/>
        <v>3.9256969019726529E-2</v>
      </c>
      <c r="AJ107" s="13">
        <f t="shared" si="111"/>
        <v>3.2261493221612425E-2</v>
      </c>
    </row>
    <row r="108" spans="1:36" x14ac:dyDescent="0.25">
      <c r="A108" s="29">
        <v>43770</v>
      </c>
      <c r="B108" s="12">
        <v>5.7501440778184804E-3</v>
      </c>
      <c r="C108" s="7">
        <v>3.8000000000000199E-3</v>
      </c>
      <c r="D108" s="7">
        <v>8.9679444779331194E-2</v>
      </c>
      <c r="E108" s="13">
        <v>9.4478642044395402E-3</v>
      </c>
      <c r="F108" s="31">
        <f t="shared" si="89"/>
        <v>1.0057501440778185</v>
      </c>
      <c r="G108" s="7">
        <f t="shared" si="89"/>
        <v>1.0038</v>
      </c>
      <c r="H108" s="7">
        <f t="shared" si="89"/>
        <v>1.0896794447793312</v>
      </c>
      <c r="I108" s="13">
        <f t="shared" si="89"/>
        <v>1.0094478642044395</v>
      </c>
      <c r="J108" s="31">
        <f t="shared" si="112"/>
        <v>2.2737169267354118</v>
      </c>
      <c r="K108" s="7">
        <f>MAX($J$2:J108)</f>
        <v>2.2737169267354118</v>
      </c>
      <c r="L108" s="13">
        <f t="shared" si="90"/>
        <v>0</v>
      </c>
      <c r="M108" s="12">
        <f t="shared" si="113"/>
        <v>5.300526817853819</v>
      </c>
      <c r="N108" s="7">
        <f>MAX($M$2:M108)</f>
        <v>5.300526817853819</v>
      </c>
      <c r="O108" s="39">
        <f t="shared" si="91"/>
        <v>0</v>
      </c>
      <c r="P108" s="31">
        <f t="shared" si="92"/>
        <v>5.7501440778184804E-3</v>
      </c>
      <c r="Q108" s="13" t="str">
        <f t="shared" si="93"/>
        <v xml:space="preserve"> </v>
      </c>
      <c r="R108" s="31">
        <f t="shared" si="94"/>
        <v>8.9679444779331194E-2</v>
      </c>
      <c r="S108" s="39" t="str">
        <f t="shared" si="95"/>
        <v xml:space="preserve"> </v>
      </c>
      <c r="T108" s="31">
        <f t="shared" si="96"/>
        <v>1.9501440778184605E-3</v>
      </c>
      <c r="U108" s="39">
        <f t="shared" si="97"/>
        <v>8.5879444779331168E-2</v>
      </c>
      <c r="V108" s="17">
        <f t="shared" si="98"/>
        <v>5.6478642044395198E-3</v>
      </c>
      <c r="W108" s="31">
        <f t="shared" si="99"/>
        <v>0</v>
      </c>
      <c r="X108" s="39">
        <f t="shared" si="100"/>
        <v>0</v>
      </c>
      <c r="Y108" s="16">
        <f t="shared" si="101"/>
        <v>0</v>
      </c>
      <c r="Z108" s="39">
        <f t="shared" si="100"/>
        <v>0</v>
      </c>
      <c r="AA108" s="16">
        <f t="shared" si="102"/>
        <v>0</v>
      </c>
      <c r="AB108" s="13">
        <f t="shared" ref="AB108" si="154">AA108^2</f>
        <v>0</v>
      </c>
      <c r="AC108" s="33">
        <f t="shared" si="104"/>
        <v>0</v>
      </c>
      <c r="AD108" s="39">
        <f t="shared" si="105"/>
        <v>0</v>
      </c>
      <c r="AE108" s="16">
        <f t="shared" si="106"/>
        <v>0</v>
      </c>
      <c r="AF108" s="39">
        <f t="shared" si="107"/>
        <v>0</v>
      </c>
      <c r="AG108" s="16">
        <f t="shared" si="108"/>
        <v>0</v>
      </c>
      <c r="AH108" s="39">
        <f t="shared" si="109"/>
        <v>0</v>
      </c>
      <c r="AI108" s="31">
        <f t="shared" si="110"/>
        <v>-8.3929300701512721E-2</v>
      </c>
      <c r="AJ108" s="13">
        <f t="shared" si="111"/>
        <v>-8.0231580574891659E-2</v>
      </c>
    </row>
    <row r="109" spans="1:36" x14ac:dyDescent="0.25">
      <c r="A109" s="29">
        <v>43800</v>
      </c>
      <c r="B109" s="12">
        <v>2.5336654631774799E-2</v>
      </c>
      <c r="C109" s="7">
        <v>3.7000000000000301E-3</v>
      </c>
      <c r="D109" s="7">
        <v>-2.6461642643034699E-2</v>
      </c>
      <c r="E109" s="13">
        <v>6.8481886300850905E-2</v>
      </c>
      <c r="F109" s="31">
        <f t="shared" si="89"/>
        <v>1.0253366546317748</v>
      </c>
      <c r="G109" s="7">
        <f t="shared" si="89"/>
        <v>1.0037</v>
      </c>
      <c r="H109" s="7">
        <f t="shared" si="89"/>
        <v>0.97353835735696526</v>
      </c>
      <c r="I109" s="13">
        <f t="shared" si="89"/>
        <v>1.0684818863008509</v>
      </c>
      <c r="J109" s="31">
        <f t="shared" si="112"/>
        <v>2.3313253072385276</v>
      </c>
      <c r="K109" s="7">
        <f>MAX($J$2:J109)</f>
        <v>2.3313253072385276</v>
      </c>
      <c r="L109" s="13">
        <f t="shared" si="90"/>
        <v>0</v>
      </c>
      <c r="M109" s="12">
        <f t="shared" si="113"/>
        <v>5.1602661713799494</v>
      </c>
      <c r="N109" s="7">
        <f>MAX($M$2:M109)</f>
        <v>5.300526817853819</v>
      </c>
      <c r="O109" s="39">
        <f t="shared" si="91"/>
        <v>-2.6461642643034692E-2</v>
      </c>
      <c r="P109" s="31">
        <f t="shared" si="92"/>
        <v>2.5336654631774799E-2</v>
      </c>
      <c r="Q109" s="13" t="str">
        <f t="shared" si="93"/>
        <v xml:space="preserve"> </v>
      </c>
      <c r="R109" s="31" t="str">
        <f t="shared" si="94"/>
        <v xml:space="preserve"> </v>
      </c>
      <c r="S109" s="39">
        <f t="shared" si="95"/>
        <v>-2.6461642643034699E-2</v>
      </c>
      <c r="T109" s="31">
        <f t="shared" si="96"/>
        <v>2.163665463177477E-2</v>
      </c>
      <c r="U109" s="39">
        <f t="shared" si="97"/>
        <v>-3.0161642643034729E-2</v>
      </c>
      <c r="V109" s="17">
        <f t="shared" si="98"/>
        <v>6.4781886300850869E-2</v>
      </c>
      <c r="W109" s="31">
        <f t="shared" si="99"/>
        <v>0</v>
      </c>
      <c r="X109" s="39">
        <f t="shared" si="100"/>
        <v>0</v>
      </c>
      <c r="Y109" s="16">
        <f t="shared" si="101"/>
        <v>-3.0161642643034729E-2</v>
      </c>
      <c r="Z109" s="39">
        <f t="shared" si="100"/>
        <v>9.0972468692613099E-4</v>
      </c>
      <c r="AA109" s="16">
        <f t="shared" si="102"/>
        <v>0</v>
      </c>
      <c r="AB109" s="13">
        <f t="shared" ref="AB109" si="155">AA109^2</f>
        <v>0</v>
      </c>
      <c r="AC109" s="33">
        <f t="shared" si="104"/>
        <v>0</v>
      </c>
      <c r="AD109" s="39">
        <f t="shared" si="105"/>
        <v>0</v>
      </c>
      <c r="AE109" s="16">
        <f t="shared" si="106"/>
        <v>-2.6461642643034699E-2</v>
      </c>
      <c r="AF109" s="39">
        <f t="shared" si="107"/>
        <v>7.0021853136767237E-4</v>
      </c>
      <c r="AG109" s="16">
        <f t="shared" si="108"/>
        <v>0</v>
      </c>
      <c r="AH109" s="39">
        <f t="shared" si="109"/>
        <v>0</v>
      </c>
      <c r="AI109" s="31">
        <f t="shared" si="110"/>
        <v>5.1798297274809557E-2</v>
      </c>
      <c r="AJ109" s="13">
        <f t="shared" si="111"/>
        <v>9.4943528943885691E-2</v>
      </c>
    </row>
    <row r="110" spans="1:36" x14ac:dyDescent="0.25">
      <c r="A110" s="29">
        <v>43831</v>
      </c>
      <c r="B110" s="12">
        <v>5.5245087516175798E-3</v>
      </c>
      <c r="C110" s="7">
        <v>3.8000000000000199E-3</v>
      </c>
      <c r="D110" s="7">
        <v>4.7844024504730902E-2</v>
      </c>
      <c r="E110" s="13">
        <v>-1.6291236110510601E-2</v>
      </c>
      <c r="F110" s="31">
        <f t="shared" si="89"/>
        <v>1.0055245087516176</v>
      </c>
      <c r="G110" s="7">
        <f t="shared" si="89"/>
        <v>1.0038</v>
      </c>
      <c r="H110" s="7">
        <f t="shared" si="89"/>
        <v>1.0478440245047309</v>
      </c>
      <c r="I110" s="13">
        <f t="shared" si="89"/>
        <v>0.98370876388948936</v>
      </c>
      <c r="J110" s="31">
        <f t="shared" si="112"/>
        <v>2.3442047343012344</v>
      </c>
      <c r="K110" s="7">
        <f>MAX($J$2:J110)</f>
        <v>2.3442047343012344</v>
      </c>
      <c r="L110" s="13">
        <f t="shared" si="90"/>
        <v>0</v>
      </c>
      <c r="M110" s="12">
        <f t="shared" si="113"/>
        <v>5.4071540725343858</v>
      </c>
      <c r="N110" s="7">
        <f>MAX($M$2:M110)</f>
        <v>5.4071540725343858</v>
      </c>
      <c r="O110" s="39">
        <f t="shared" si="91"/>
        <v>0</v>
      </c>
      <c r="P110" s="31">
        <f t="shared" si="92"/>
        <v>5.5245087516175798E-3</v>
      </c>
      <c r="Q110" s="13" t="str">
        <f t="shared" si="93"/>
        <v xml:space="preserve"> </v>
      </c>
      <c r="R110" s="31">
        <f t="shared" si="94"/>
        <v>4.7844024504730902E-2</v>
      </c>
      <c r="S110" s="39" t="str">
        <f t="shared" si="95"/>
        <v xml:space="preserve"> </v>
      </c>
      <c r="T110" s="31">
        <f t="shared" si="96"/>
        <v>1.7245087516175599E-3</v>
      </c>
      <c r="U110" s="39">
        <f t="shared" si="97"/>
        <v>4.4044024504730883E-2</v>
      </c>
      <c r="V110" s="17">
        <f t="shared" si="98"/>
        <v>-2.009123611051062E-2</v>
      </c>
      <c r="W110" s="31">
        <f t="shared" si="99"/>
        <v>0</v>
      </c>
      <c r="X110" s="39">
        <f t="shared" si="100"/>
        <v>0</v>
      </c>
      <c r="Y110" s="16">
        <f t="shared" si="101"/>
        <v>0</v>
      </c>
      <c r="Z110" s="39">
        <f t="shared" si="100"/>
        <v>0</v>
      </c>
      <c r="AA110" s="16">
        <f t="shared" si="102"/>
        <v>-2.009123611051062E-2</v>
      </c>
      <c r="AB110" s="13">
        <f t="shared" ref="AB110" si="156">AA110^2</f>
        <v>4.0365776844828588E-4</v>
      </c>
      <c r="AC110" s="33">
        <f t="shared" si="104"/>
        <v>0</v>
      </c>
      <c r="AD110" s="39">
        <f t="shared" si="105"/>
        <v>0</v>
      </c>
      <c r="AE110" s="16">
        <f t="shared" si="106"/>
        <v>0</v>
      </c>
      <c r="AF110" s="39">
        <f t="shared" si="107"/>
        <v>0</v>
      </c>
      <c r="AG110" s="16">
        <f t="shared" si="108"/>
        <v>-1.6291236110510601E-2</v>
      </c>
      <c r="AH110" s="39">
        <f t="shared" si="109"/>
        <v>2.654043740084046E-4</v>
      </c>
      <c r="AI110" s="31">
        <f t="shared" si="110"/>
        <v>-4.2319515753113324E-2</v>
      </c>
      <c r="AJ110" s="13">
        <f t="shared" si="111"/>
        <v>-6.4135260615241552E-2</v>
      </c>
    </row>
    <row r="111" spans="1:36" x14ac:dyDescent="0.25">
      <c r="A111" s="29">
        <v>43862</v>
      </c>
      <c r="B111" s="12">
        <v>-2.53114452762606E-2</v>
      </c>
      <c r="C111" s="7">
        <v>2.8999999999999001E-3</v>
      </c>
      <c r="D111" s="7">
        <v>-2.23137738984425E-2</v>
      </c>
      <c r="E111" s="13">
        <v>-8.4290749905503601E-2</v>
      </c>
      <c r="F111" s="31">
        <f t="shared" si="89"/>
        <v>0.97468855472373939</v>
      </c>
      <c r="G111" s="7">
        <f t="shared" si="89"/>
        <v>1.0028999999999999</v>
      </c>
      <c r="H111" s="7">
        <f t="shared" si="89"/>
        <v>0.97768622610155753</v>
      </c>
      <c r="I111" s="13">
        <f t="shared" si="89"/>
        <v>0.91570925009449644</v>
      </c>
      <c r="J111" s="31">
        <f t="shared" si="112"/>
        <v>2.2848695244526178</v>
      </c>
      <c r="K111" s="7">
        <f>MAX($J$2:J111)</f>
        <v>2.3442047343012344</v>
      </c>
      <c r="L111" s="13">
        <f t="shared" si="90"/>
        <v>-2.5311445276260561E-2</v>
      </c>
      <c r="M111" s="12">
        <f t="shared" si="113"/>
        <v>5.2865000591258111</v>
      </c>
      <c r="N111" s="7">
        <f>MAX($M$2:M111)</f>
        <v>5.4071540725343858</v>
      </c>
      <c r="O111" s="39">
        <f t="shared" si="91"/>
        <v>-2.2313773898442479E-2</v>
      </c>
      <c r="P111" s="31" t="str">
        <f t="shared" si="92"/>
        <v xml:space="preserve"> </v>
      </c>
      <c r="Q111" s="13">
        <f t="shared" si="93"/>
        <v>-2.53114452762606E-2</v>
      </c>
      <c r="R111" s="31" t="str">
        <f t="shared" si="94"/>
        <v xml:space="preserve"> </v>
      </c>
      <c r="S111" s="39">
        <f t="shared" si="95"/>
        <v>-2.23137738984425E-2</v>
      </c>
      <c r="T111" s="31">
        <f t="shared" si="96"/>
        <v>-2.8211445276260499E-2</v>
      </c>
      <c r="U111" s="39">
        <f t="shared" si="97"/>
        <v>-2.5213773898442399E-2</v>
      </c>
      <c r="V111" s="17">
        <f t="shared" si="98"/>
        <v>-8.7190749905503503E-2</v>
      </c>
      <c r="W111" s="31">
        <f t="shared" si="99"/>
        <v>-2.8211445276260499E-2</v>
      </c>
      <c r="X111" s="39">
        <f t="shared" si="100"/>
        <v>7.9588564457544085E-4</v>
      </c>
      <c r="Y111" s="16">
        <f t="shared" si="101"/>
        <v>-2.5213773898442399E-2</v>
      </c>
      <c r="Z111" s="39">
        <f t="shared" si="100"/>
        <v>6.3573439420177517E-4</v>
      </c>
      <c r="AA111" s="16">
        <f t="shared" si="102"/>
        <v>-8.7190749905503503E-2</v>
      </c>
      <c r="AB111" s="13">
        <f t="shared" ref="AB111" si="157">AA111^2</f>
        <v>7.6022268690840592E-3</v>
      </c>
      <c r="AC111" s="33">
        <f t="shared" si="104"/>
        <v>-2.53114452762606E-2</v>
      </c>
      <c r="AD111" s="39">
        <f t="shared" si="105"/>
        <v>6.4066926197313499E-4</v>
      </c>
      <c r="AE111" s="16">
        <f t="shared" si="106"/>
        <v>-2.23137738984425E-2</v>
      </c>
      <c r="AF111" s="39">
        <f t="shared" si="107"/>
        <v>4.9790450559081376E-4</v>
      </c>
      <c r="AG111" s="16">
        <f t="shared" si="108"/>
        <v>-8.4290749905503601E-2</v>
      </c>
      <c r="AH111" s="39">
        <f t="shared" si="109"/>
        <v>7.1049305196321556E-3</v>
      </c>
      <c r="AI111" s="31">
        <f t="shared" si="110"/>
        <v>-2.9976713778181452E-3</v>
      </c>
      <c r="AJ111" s="13">
        <f t="shared" si="111"/>
        <v>-6.1976976007061091E-2</v>
      </c>
    </row>
    <row r="112" spans="1:36" x14ac:dyDescent="0.25">
      <c r="A112" s="29">
        <v>43891</v>
      </c>
      <c r="B112" s="12">
        <v>-0.11833142995366799</v>
      </c>
      <c r="C112" s="7">
        <v>3.4000000000000601E-3</v>
      </c>
      <c r="D112" s="7">
        <v>-1.3855924897019801E-2</v>
      </c>
      <c r="E112" s="13">
        <v>-0.29904388895288497</v>
      </c>
      <c r="F112" s="31">
        <f t="shared" si="89"/>
        <v>0.88166857004633203</v>
      </c>
      <c r="G112" s="7">
        <f t="shared" si="89"/>
        <v>1.0034000000000001</v>
      </c>
      <c r="H112" s="7">
        <f t="shared" si="89"/>
        <v>0.98614407510298019</v>
      </c>
      <c r="I112" s="13">
        <f t="shared" si="89"/>
        <v>0.70095611104711497</v>
      </c>
      <c r="J112" s="31">
        <f t="shared" si="112"/>
        <v>2.014497646366582</v>
      </c>
      <c r="K112" s="7">
        <f>MAX($J$2:J112)</f>
        <v>2.3442047343012344</v>
      </c>
      <c r="L112" s="13">
        <f t="shared" si="90"/>
        <v>-0.14064773571619468</v>
      </c>
      <c r="M112" s="12">
        <f t="shared" si="113"/>
        <v>5.213250711338473</v>
      </c>
      <c r="N112" s="7">
        <f>MAX($M$2:M112)</f>
        <v>5.4071540725343858</v>
      </c>
      <c r="O112" s="39">
        <f t="shared" si="91"/>
        <v>-3.5860520820156415E-2</v>
      </c>
      <c r="P112" s="31" t="str">
        <f t="shared" si="92"/>
        <v xml:space="preserve"> </v>
      </c>
      <c r="Q112" s="13">
        <f t="shared" si="93"/>
        <v>-0.11833142995366799</v>
      </c>
      <c r="R112" s="31" t="str">
        <f t="shared" si="94"/>
        <v xml:space="preserve"> </v>
      </c>
      <c r="S112" s="39">
        <f t="shared" si="95"/>
        <v>-1.3855924897019801E-2</v>
      </c>
      <c r="T112" s="31">
        <f t="shared" si="96"/>
        <v>-0.12173142995366805</v>
      </c>
      <c r="U112" s="39">
        <f t="shared" si="97"/>
        <v>-1.725592489701986E-2</v>
      </c>
      <c r="V112" s="17">
        <f t="shared" si="98"/>
        <v>-0.30244388895288504</v>
      </c>
      <c r="W112" s="31">
        <f t="shared" si="99"/>
        <v>-0.12173142995366805</v>
      </c>
      <c r="X112" s="39">
        <f t="shared" si="100"/>
        <v>1.4818541038564791E-2</v>
      </c>
      <c r="Y112" s="16">
        <f t="shared" si="101"/>
        <v>-1.725592489701986E-2</v>
      </c>
      <c r="Z112" s="39">
        <f t="shared" si="100"/>
        <v>2.9776694405158987E-4</v>
      </c>
      <c r="AA112" s="16">
        <f t="shared" si="102"/>
        <v>-0.30244388895288504</v>
      </c>
      <c r="AB112" s="13">
        <f t="shared" ref="AB112" si="158">AA112^2</f>
        <v>9.1472305964945058E-2</v>
      </c>
      <c r="AC112" s="33">
        <f t="shared" si="104"/>
        <v>-0.11833142995366799</v>
      </c>
      <c r="AD112" s="39">
        <f t="shared" si="105"/>
        <v>1.4002327314879834E-2</v>
      </c>
      <c r="AE112" s="16">
        <f t="shared" si="106"/>
        <v>-1.3855924897019801E-2</v>
      </c>
      <c r="AF112" s="39">
        <f t="shared" si="107"/>
        <v>1.9198665475185319E-4</v>
      </c>
      <c r="AG112" s="16">
        <f t="shared" si="108"/>
        <v>-0.29904388895288497</v>
      </c>
      <c r="AH112" s="39">
        <f t="shared" si="109"/>
        <v>8.9427247520065395E-2</v>
      </c>
      <c r="AI112" s="31">
        <f t="shared" si="110"/>
        <v>-0.10447550505664815</v>
      </c>
      <c r="AJ112" s="13">
        <f t="shared" si="111"/>
        <v>-0.28518796405586522</v>
      </c>
    </row>
    <row r="113" spans="1:36" x14ac:dyDescent="0.25">
      <c r="A113" s="29">
        <v>43922</v>
      </c>
      <c r="B113" s="12">
        <v>4.3044733982506397E-2</v>
      </c>
      <c r="C113" s="7">
        <v>2.7999999999999102E-3</v>
      </c>
      <c r="D113" s="7">
        <v>0.13835432841845699</v>
      </c>
      <c r="E113" s="13">
        <v>0.102519857573267</v>
      </c>
      <c r="F113" s="31">
        <f t="shared" si="89"/>
        <v>1.0430447339825064</v>
      </c>
      <c r="G113" s="7">
        <f t="shared" si="89"/>
        <v>1.0027999999999999</v>
      </c>
      <c r="H113" s="7">
        <f t="shared" si="89"/>
        <v>1.138354328418457</v>
      </c>
      <c r="I113" s="13">
        <f t="shared" si="89"/>
        <v>1.1025198575732671</v>
      </c>
      <c r="J113" s="31">
        <f t="shared" si="112"/>
        <v>2.1012111616628166</v>
      </c>
      <c r="K113" s="7">
        <f>MAX($J$2:J113)</f>
        <v>2.3442047343012344</v>
      </c>
      <c r="L113" s="13">
        <f t="shared" si="90"/>
        <v>-0.10365714610283383</v>
      </c>
      <c r="M113" s="12">
        <f t="shared" si="113"/>
        <v>5.9345265123827504</v>
      </c>
      <c r="N113" s="7">
        <f>MAX($M$2:M113)</f>
        <v>5.9345265123827504</v>
      </c>
      <c r="O113" s="39">
        <f t="shared" si="91"/>
        <v>0</v>
      </c>
      <c r="P113" s="31">
        <f t="shared" si="92"/>
        <v>4.3044733982506397E-2</v>
      </c>
      <c r="Q113" s="13" t="str">
        <f t="shared" si="93"/>
        <v xml:space="preserve"> </v>
      </c>
      <c r="R113" s="31">
        <f t="shared" si="94"/>
        <v>0.13835432841845699</v>
      </c>
      <c r="S113" s="39" t="str">
        <f t="shared" si="95"/>
        <v xml:space="preserve"> </v>
      </c>
      <c r="T113" s="31">
        <f t="shared" si="96"/>
        <v>4.0244733982506484E-2</v>
      </c>
      <c r="U113" s="39">
        <f t="shared" si="97"/>
        <v>0.13555432841845708</v>
      </c>
      <c r="V113" s="17">
        <f t="shared" si="98"/>
        <v>9.9719857573267082E-2</v>
      </c>
      <c r="W113" s="31">
        <f t="shared" si="99"/>
        <v>0</v>
      </c>
      <c r="X113" s="39">
        <f t="shared" si="100"/>
        <v>0</v>
      </c>
      <c r="Y113" s="16">
        <f t="shared" si="101"/>
        <v>0</v>
      </c>
      <c r="Z113" s="39">
        <f t="shared" si="100"/>
        <v>0</v>
      </c>
      <c r="AA113" s="16">
        <f t="shared" si="102"/>
        <v>0</v>
      </c>
      <c r="AB113" s="13">
        <f t="shared" ref="AB113" si="159">AA113^2</f>
        <v>0</v>
      </c>
      <c r="AC113" s="33">
        <f t="shared" si="104"/>
        <v>0</v>
      </c>
      <c r="AD113" s="39">
        <f t="shared" si="105"/>
        <v>0</v>
      </c>
      <c r="AE113" s="16">
        <f t="shared" si="106"/>
        <v>0</v>
      </c>
      <c r="AF113" s="39">
        <f t="shared" si="107"/>
        <v>0</v>
      </c>
      <c r="AG113" s="16">
        <f t="shared" si="108"/>
        <v>0</v>
      </c>
      <c r="AH113" s="39">
        <f t="shared" si="109"/>
        <v>0</v>
      </c>
      <c r="AI113" s="31">
        <f t="shared" si="110"/>
        <v>-9.5309594435950551E-2</v>
      </c>
      <c r="AJ113" s="13">
        <f t="shared" si="111"/>
        <v>-3.583447084518987E-2</v>
      </c>
    </row>
    <row r="114" spans="1:36" x14ac:dyDescent="0.25">
      <c r="A114" s="29">
        <v>43952</v>
      </c>
      <c r="B114" s="12">
        <v>2.38521023810618E-2</v>
      </c>
      <c r="C114" s="7">
        <v>2.3999999999999499E-3</v>
      </c>
      <c r="D114" s="7">
        <v>5.1592086730708198E-2</v>
      </c>
      <c r="E114" s="13">
        <v>8.5670633244726999E-2</v>
      </c>
      <c r="F114" s="31">
        <f t="shared" si="89"/>
        <v>1.0238521023810618</v>
      </c>
      <c r="G114" s="7">
        <f t="shared" si="89"/>
        <v>1.0024</v>
      </c>
      <c r="H114" s="7">
        <f t="shared" si="89"/>
        <v>1.0515920867307083</v>
      </c>
      <c r="I114" s="13">
        <f t="shared" si="89"/>
        <v>1.085670633244727</v>
      </c>
      <c r="J114" s="31">
        <f t="shared" si="112"/>
        <v>2.1513294654150279</v>
      </c>
      <c r="K114" s="7">
        <f>MAX($J$2:J114)</f>
        <v>2.3442047343012344</v>
      </c>
      <c r="L114" s="13">
        <f t="shared" si="90"/>
        <v>-8.2277484583145516E-2</v>
      </c>
      <c r="M114" s="12">
        <f t="shared" si="113"/>
        <v>6.2407011189152888</v>
      </c>
      <c r="N114" s="7">
        <f>MAX($M$2:M114)</f>
        <v>6.2407011189152888</v>
      </c>
      <c r="O114" s="39">
        <f t="shared" si="91"/>
        <v>0</v>
      </c>
      <c r="P114" s="31">
        <f t="shared" si="92"/>
        <v>2.38521023810618E-2</v>
      </c>
      <c r="Q114" s="13" t="str">
        <f t="shared" si="93"/>
        <v xml:space="preserve"> </v>
      </c>
      <c r="R114" s="31">
        <f t="shared" si="94"/>
        <v>5.1592086730708198E-2</v>
      </c>
      <c r="S114" s="39" t="str">
        <f t="shared" si="95"/>
        <v xml:space="preserve"> </v>
      </c>
      <c r="T114" s="31">
        <f t="shared" si="96"/>
        <v>2.1452102381061849E-2</v>
      </c>
      <c r="U114" s="39">
        <f t="shared" si="97"/>
        <v>4.9192086730708247E-2</v>
      </c>
      <c r="V114" s="17">
        <f t="shared" si="98"/>
        <v>8.3270633244727055E-2</v>
      </c>
      <c r="W114" s="31">
        <f t="shared" si="99"/>
        <v>0</v>
      </c>
      <c r="X114" s="39">
        <f t="shared" si="100"/>
        <v>0</v>
      </c>
      <c r="Y114" s="16">
        <f t="shared" si="101"/>
        <v>0</v>
      </c>
      <c r="Z114" s="39">
        <f t="shared" si="100"/>
        <v>0</v>
      </c>
      <c r="AA114" s="16">
        <f t="shared" si="102"/>
        <v>0</v>
      </c>
      <c r="AB114" s="13">
        <f t="shared" ref="AB114" si="160">AA114^2</f>
        <v>0</v>
      </c>
      <c r="AC114" s="33">
        <f t="shared" si="104"/>
        <v>0</v>
      </c>
      <c r="AD114" s="39">
        <f t="shared" si="105"/>
        <v>0</v>
      </c>
      <c r="AE114" s="16">
        <f t="shared" si="106"/>
        <v>0</v>
      </c>
      <c r="AF114" s="39">
        <f t="shared" si="107"/>
        <v>0</v>
      </c>
      <c r="AG114" s="16">
        <f t="shared" si="108"/>
        <v>0</v>
      </c>
      <c r="AH114" s="39">
        <f t="shared" si="109"/>
        <v>0</v>
      </c>
      <c r="AI114" s="31">
        <f t="shared" si="110"/>
        <v>-2.7739984349646418E-2</v>
      </c>
      <c r="AJ114" s="13">
        <f t="shared" si="111"/>
        <v>3.4078546514018759E-2</v>
      </c>
    </row>
    <row r="115" spans="1:36" x14ac:dyDescent="0.25">
      <c r="A115" s="29">
        <v>43983</v>
      </c>
      <c r="B115" s="12">
        <v>3.2693131978713097E-2</v>
      </c>
      <c r="C115" s="7">
        <v>2.0999999999999899E-3</v>
      </c>
      <c r="D115" s="7">
        <v>3.9209123720118998E-2</v>
      </c>
      <c r="E115" s="13">
        <v>8.7559923572417306E-2</v>
      </c>
      <c r="F115" s="31">
        <f t="shared" si="89"/>
        <v>1.0326931319787132</v>
      </c>
      <c r="G115" s="7">
        <f t="shared" si="89"/>
        <v>1.0021</v>
      </c>
      <c r="H115" s="7">
        <f t="shared" si="89"/>
        <v>1.0392091237201191</v>
      </c>
      <c r="I115" s="13">
        <f t="shared" si="89"/>
        <v>1.0875599235724174</v>
      </c>
      <c r="J115" s="31">
        <f t="shared" si="112"/>
        <v>2.2216631635575359</v>
      </c>
      <c r="K115" s="7">
        <f>MAX($J$2:J115)</f>
        <v>2.3442047343012344</v>
      </c>
      <c r="L115" s="13">
        <f t="shared" si="90"/>
        <v>-5.2274261266785638E-2</v>
      </c>
      <c r="M115" s="12">
        <f t="shared" si="113"/>
        <v>6.4853935411871237</v>
      </c>
      <c r="N115" s="7">
        <f>MAX($M$2:M115)</f>
        <v>6.4853935411871237</v>
      </c>
      <c r="O115" s="39">
        <f t="shared" si="91"/>
        <v>0</v>
      </c>
      <c r="P115" s="31">
        <f t="shared" si="92"/>
        <v>3.2693131978713097E-2</v>
      </c>
      <c r="Q115" s="13" t="str">
        <f t="shared" si="93"/>
        <v xml:space="preserve"> </v>
      </c>
      <c r="R115" s="31">
        <f t="shared" si="94"/>
        <v>3.9209123720118998E-2</v>
      </c>
      <c r="S115" s="39" t="str">
        <f t="shared" si="95"/>
        <v xml:space="preserve"> </v>
      </c>
      <c r="T115" s="31">
        <f t="shared" si="96"/>
        <v>3.0593131978713106E-2</v>
      </c>
      <c r="U115" s="39">
        <f t="shared" si="97"/>
        <v>3.7109123720119007E-2</v>
      </c>
      <c r="V115" s="17">
        <f t="shared" si="98"/>
        <v>8.5459923572417315E-2</v>
      </c>
      <c r="W115" s="31">
        <f t="shared" si="99"/>
        <v>0</v>
      </c>
      <c r="X115" s="39">
        <f t="shared" si="100"/>
        <v>0</v>
      </c>
      <c r="Y115" s="16">
        <f t="shared" si="101"/>
        <v>0</v>
      </c>
      <c r="Z115" s="39">
        <f t="shared" si="100"/>
        <v>0</v>
      </c>
      <c r="AA115" s="16">
        <f t="shared" si="102"/>
        <v>0</v>
      </c>
      <c r="AB115" s="13">
        <f t="shared" ref="AB115" si="161">AA115^2</f>
        <v>0</v>
      </c>
      <c r="AC115" s="33">
        <f t="shared" si="104"/>
        <v>0</v>
      </c>
      <c r="AD115" s="39">
        <f t="shared" si="105"/>
        <v>0</v>
      </c>
      <c r="AE115" s="16">
        <f t="shared" si="106"/>
        <v>0</v>
      </c>
      <c r="AF115" s="39">
        <f t="shared" si="107"/>
        <v>0</v>
      </c>
      <c r="AG115" s="16">
        <f t="shared" si="108"/>
        <v>0</v>
      </c>
      <c r="AH115" s="39">
        <f t="shared" si="109"/>
        <v>0</v>
      </c>
      <c r="AI115" s="31">
        <f t="shared" si="110"/>
        <v>-6.5159917414059354E-3</v>
      </c>
      <c r="AJ115" s="13">
        <f t="shared" si="111"/>
        <v>4.8350799852298287E-2</v>
      </c>
    </row>
    <row r="116" spans="1:36" x14ac:dyDescent="0.25">
      <c r="A116" s="29">
        <v>44013</v>
      </c>
      <c r="B116" s="12">
        <v>5.3277853395070997E-2</v>
      </c>
      <c r="C116" s="7">
        <v>1.90000000000001E-3</v>
      </c>
      <c r="D116" s="7">
        <v>9.3920038893815505E-3</v>
      </c>
      <c r="E116" s="13">
        <v>8.2646019188688802E-2</v>
      </c>
      <c r="F116" s="31">
        <f t="shared" si="89"/>
        <v>1.0532778533950711</v>
      </c>
      <c r="G116" s="7">
        <f t="shared" si="89"/>
        <v>1.0019</v>
      </c>
      <c r="H116" s="7">
        <f t="shared" si="89"/>
        <v>1.0093920038893816</v>
      </c>
      <c r="I116" s="13">
        <f t="shared" si="89"/>
        <v>1.0826460191886889</v>
      </c>
      <c r="J116" s="31">
        <f t="shared" si="112"/>
        <v>2.340028607878784</v>
      </c>
      <c r="K116" s="7">
        <f>MAX($J$2:J116)</f>
        <v>2.3442047343012344</v>
      </c>
      <c r="L116" s="13">
        <f t="shared" si="90"/>
        <v>-1.7814682998220693E-3</v>
      </c>
      <c r="M116" s="12">
        <f t="shared" si="113"/>
        <v>6.5463043825501233</v>
      </c>
      <c r="N116" s="7">
        <f>MAX($M$2:M116)</f>
        <v>6.5463043825501233</v>
      </c>
      <c r="O116" s="39">
        <f t="shared" si="91"/>
        <v>0</v>
      </c>
      <c r="P116" s="31">
        <f t="shared" si="92"/>
        <v>5.3277853395070997E-2</v>
      </c>
      <c r="Q116" s="13" t="str">
        <f t="shared" si="93"/>
        <v xml:space="preserve"> </v>
      </c>
      <c r="R116" s="31">
        <f t="shared" si="94"/>
        <v>9.3920038893815505E-3</v>
      </c>
      <c r="S116" s="39" t="str">
        <f t="shared" si="95"/>
        <v xml:space="preserve"> </v>
      </c>
      <c r="T116" s="31">
        <f t="shared" si="96"/>
        <v>5.1377853395070984E-2</v>
      </c>
      <c r="U116" s="39">
        <f t="shared" si="97"/>
        <v>7.4920038893815403E-3</v>
      </c>
      <c r="V116" s="17">
        <f t="shared" si="98"/>
        <v>8.0746019188688789E-2</v>
      </c>
      <c r="W116" s="31">
        <f t="shared" si="99"/>
        <v>0</v>
      </c>
      <c r="X116" s="39">
        <f t="shared" si="100"/>
        <v>0</v>
      </c>
      <c r="Y116" s="16">
        <f t="shared" si="101"/>
        <v>0</v>
      </c>
      <c r="Z116" s="39">
        <f t="shared" si="100"/>
        <v>0</v>
      </c>
      <c r="AA116" s="16">
        <f t="shared" si="102"/>
        <v>0</v>
      </c>
      <c r="AB116" s="13">
        <f t="shared" ref="AB116" si="162">AA116^2</f>
        <v>0</v>
      </c>
      <c r="AC116" s="33">
        <f t="shared" si="104"/>
        <v>0</v>
      </c>
      <c r="AD116" s="39">
        <f t="shared" si="105"/>
        <v>0</v>
      </c>
      <c r="AE116" s="16">
        <f t="shared" si="106"/>
        <v>0</v>
      </c>
      <c r="AF116" s="39">
        <f t="shared" si="107"/>
        <v>0</v>
      </c>
      <c r="AG116" s="16">
        <f t="shared" si="108"/>
        <v>0</v>
      </c>
      <c r="AH116" s="39">
        <f t="shared" si="109"/>
        <v>0</v>
      </c>
      <c r="AI116" s="31">
        <f t="shared" si="110"/>
        <v>4.3885849505689523E-2</v>
      </c>
      <c r="AJ116" s="13">
        <f t="shared" si="111"/>
        <v>7.3254015299307307E-2</v>
      </c>
    </row>
    <row r="117" spans="1:36" x14ac:dyDescent="0.25">
      <c r="A117" s="29">
        <v>44044</v>
      </c>
      <c r="B117" s="12">
        <v>2.60368788575078E-2</v>
      </c>
      <c r="C117" s="7">
        <v>1.60000000000004E-3</v>
      </c>
      <c r="D117" s="7">
        <v>0.10861681399201099</v>
      </c>
      <c r="E117" s="13">
        <v>-3.4427472014925298E-2</v>
      </c>
      <c r="F117" s="31">
        <f t="shared" si="89"/>
        <v>1.0260368788575078</v>
      </c>
      <c r="G117" s="7">
        <f t="shared" si="89"/>
        <v>1.0016</v>
      </c>
      <c r="H117" s="7">
        <f t="shared" si="89"/>
        <v>1.108616813992011</v>
      </c>
      <c r="I117" s="13">
        <f t="shared" si="89"/>
        <v>0.96557252798507465</v>
      </c>
      <c r="J117" s="31">
        <f t="shared" si="112"/>
        <v>2.4009556492652266</v>
      </c>
      <c r="K117" s="7">
        <f>MAX($J$2:J117)</f>
        <v>2.4009556492652266</v>
      </c>
      <c r="L117" s="13">
        <f t="shared" si="90"/>
        <v>0</v>
      </c>
      <c r="M117" s="12">
        <f t="shared" si="113"/>
        <v>7.2573431080046564</v>
      </c>
      <c r="N117" s="7">
        <f>MAX($M$2:M117)</f>
        <v>7.2573431080046564</v>
      </c>
      <c r="O117" s="39">
        <f t="shared" si="91"/>
        <v>0</v>
      </c>
      <c r="P117" s="31">
        <f t="shared" si="92"/>
        <v>2.60368788575078E-2</v>
      </c>
      <c r="Q117" s="13" t="str">
        <f t="shared" si="93"/>
        <v xml:space="preserve"> </v>
      </c>
      <c r="R117" s="31">
        <f t="shared" si="94"/>
        <v>0.10861681399201099</v>
      </c>
      <c r="S117" s="39" t="str">
        <f t="shared" si="95"/>
        <v xml:space="preserve"> </v>
      </c>
      <c r="T117" s="31">
        <f t="shared" si="96"/>
        <v>2.4436878857507761E-2</v>
      </c>
      <c r="U117" s="39">
        <f t="shared" si="97"/>
        <v>0.10701681399201095</v>
      </c>
      <c r="V117" s="17">
        <f t="shared" si="98"/>
        <v>-3.6027472014925337E-2</v>
      </c>
      <c r="W117" s="31">
        <f t="shared" si="99"/>
        <v>0</v>
      </c>
      <c r="X117" s="39">
        <f t="shared" si="100"/>
        <v>0</v>
      </c>
      <c r="Y117" s="16">
        <f t="shared" si="101"/>
        <v>0</v>
      </c>
      <c r="Z117" s="39">
        <f t="shared" si="100"/>
        <v>0</v>
      </c>
      <c r="AA117" s="16">
        <f t="shared" si="102"/>
        <v>-3.6027472014925337E-2</v>
      </c>
      <c r="AB117" s="13">
        <f t="shared" ref="AB117" si="163">AA117^2</f>
        <v>1.2979787397862283E-3</v>
      </c>
      <c r="AC117" s="33">
        <f t="shared" si="104"/>
        <v>0</v>
      </c>
      <c r="AD117" s="39">
        <f t="shared" si="105"/>
        <v>0</v>
      </c>
      <c r="AE117" s="16">
        <f t="shared" si="106"/>
        <v>0</v>
      </c>
      <c r="AF117" s="39">
        <f t="shared" si="107"/>
        <v>0</v>
      </c>
      <c r="AG117" s="16">
        <f t="shared" si="108"/>
        <v>-3.4427472014925298E-2</v>
      </c>
      <c r="AH117" s="39">
        <f t="shared" si="109"/>
        <v>1.1852508293384645E-3</v>
      </c>
      <c r="AI117" s="31">
        <f t="shared" si="110"/>
        <v>-8.2579935134503124E-2</v>
      </c>
      <c r="AJ117" s="13">
        <f t="shared" si="111"/>
        <v>-0.14304428600693631</v>
      </c>
    </row>
    <row r="118" spans="1:36" x14ac:dyDescent="0.25">
      <c r="A118" s="29">
        <v>44075</v>
      </c>
      <c r="B118" s="12">
        <v>-2.9332886759215901E-2</v>
      </c>
      <c r="C118" s="7">
        <v>1.60000000000004E-3</v>
      </c>
      <c r="D118" s="7">
        <v>8.9610365555008401E-3</v>
      </c>
      <c r="E118" s="13">
        <v>-4.79626442854411E-2</v>
      </c>
      <c r="F118" s="31">
        <f t="shared" si="89"/>
        <v>0.97066711324078414</v>
      </c>
      <c r="G118" s="7">
        <f t="shared" si="89"/>
        <v>1.0016</v>
      </c>
      <c r="H118" s="7">
        <f t="shared" si="89"/>
        <v>1.0089610365555008</v>
      </c>
      <c r="I118" s="13">
        <f t="shared" si="89"/>
        <v>0.95203735571455894</v>
      </c>
      <c r="J118" s="31">
        <f t="shared" si="112"/>
        <v>2.3305286890914303</v>
      </c>
      <c r="K118" s="7">
        <f>MAX($J$2:J118)</f>
        <v>2.4009556492652266</v>
      </c>
      <c r="L118" s="13">
        <f t="shared" si="90"/>
        <v>-2.9332886759215804E-2</v>
      </c>
      <c r="M118" s="12">
        <f t="shared" si="113"/>
        <v>7.3223764248912984</v>
      </c>
      <c r="N118" s="7">
        <f>MAX($M$2:M118)</f>
        <v>7.3223764248912984</v>
      </c>
      <c r="O118" s="39">
        <f t="shared" si="91"/>
        <v>0</v>
      </c>
      <c r="P118" s="31" t="str">
        <f t="shared" si="92"/>
        <v xml:space="preserve"> </v>
      </c>
      <c r="Q118" s="13">
        <f t="shared" si="93"/>
        <v>-2.9332886759215901E-2</v>
      </c>
      <c r="R118" s="31">
        <f t="shared" si="94"/>
        <v>8.9610365555008401E-3</v>
      </c>
      <c r="S118" s="39" t="str">
        <f t="shared" si="95"/>
        <v xml:space="preserve"> </v>
      </c>
      <c r="T118" s="31">
        <f t="shared" si="96"/>
        <v>-3.093288675921594E-2</v>
      </c>
      <c r="U118" s="39">
        <f t="shared" si="97"/>
        <v>7.3610365555008004E-3</v>
      </c>
      <c r="V118" s="17">
        <f t="shared" si="98"/>
        <v>-4.9562644285441139E-2</v>
      </c>
      <c r="W118" s="31">
        <f t="shared" si="99"/>
        <v>-3.093288675921594E-2</v>
      </c>
      <c r="X118" s="39">
        <f t="shared" si="100"/>
        <v>9.5684348325847683E-4</v>
      </c>
      <c r="Y118" s="16">
        <f t="shared" si="101"/>
        <v>0</v>
      </c>
      <c r="Z118" s="39">
        <f t="shared" si="100"/>
        <v>0</v>
      </c>
      <c r="AA118" s="16">
        <f t="shared" si="102"/>
        <v>-4.9562644285441139E-2</v>
      </c>
      <c r="AB118" s="13">
        <f t="shared" ref="AB118" si="164">AA118^2</f>
        <v>2.4564557085651711E-3</v>
      </c>
      <c r="AC118" s="33">
        <f t="shared" si="104"/>
        <v>-2.9332886759215901E-2</v>
      </c>
      <c r="AD118" s="39">
        <f t="shared" si="105"/>
        <v>8.6041824562898357E-4</v>
      </c>
      <c r="AE118" s="16">
        <f t="shared" si="106"/>
        <v>0</v>
      </c>
      <c r="AF118" s="39">
        <f t="shared" si="107"/>
        <v>0</v>
      </c>
      <c r="AG118" s="16">
        <f t="shared" si="108"/>
        <v>-4.79626442854411E-2</v>
      </c>
      <c r="AH118" s="39">
        <f t="shared" si="109"/>
        <v>2.3004152468517557E-3</v>
      </c>
      <c r="AI118" s="31">
        <f t="shared" si="110"/>
        <v>-3.8293923314716705E-2</v>
      </c>
      <c r="AJ118" s="13">
        <f t="shared" si="111"/>
        <v>-5.6923680840941904E-2</v>
      </c>
    </row>
    <row r="119" spans="1:36" x14ac:dyDescent="0.25">
      <c r="A119" s="29">
        <v>44105</v>
      </c>
      <c r="B119" s="12">
        <v>-5.9119617855683997E-3</v>
      </c>
      <c r="C119" s="7">
        <v>1.60000000000004E-3</v>
      </c>
      <c r="D119" s="7">
        <v>1.0181138398000601E-2</v>
      </c>
      <c r="E119" s="13">
        <v>-6.8813885394755003E-3</v>
      </c>
      <c r="F119" s="31">
        <f t="shared" si="89"/>
        <v>0.99408803821443159</v>
      </c>
      <c r="G119" s="7">
        <f t="shared" si="89"/>
        <v>1.0016</v>
      </c>
      <c r="H119" s="7">
        <f t="shared" si="89"/>
        <v>1.0101811383980006</v>
      </c>
      <c r="I119" s="13">
        <f t="shared" si="89"/>
        <v>0.99311861146052449</v>
      </c>
      <c r="J119" s="31">
        <f t="shared" si="112"/>
        <v>2.3167506925413508</v>
      </c>
      <c r="K119" s="7">
        <f>MAX($J$2:J119)</f>
        <v>2.4009556492652266</v>
      </c>
      <c r="L119" s="13">
        <f t="shared" si="90"/>
        <v>-3.507143363920337E-2</v>
      </c>
      <c r="M119" s="12">
        <f t="shared" si="113"/>
        <v>7.3969265526753736</v>
      </c>
      <c r="N119" s="7">
        <f>MAX($M$2:M119)</f>
        <v>7.3969265526753736</v>
      </c>
      <c r="O119" s="39">
        <f t="shared" si="91"/>
        <v>0</v>
      </c>
      <c r="P119" s="31" t="str">
        <f t="shared" si="92"/>
        <v xml:space="preserve"> </v>
      </c>
      <c r="Q119" s="13">
        <f t="shared" si="93"/>
        <v>-5.9119617855683997E-3</v>
      </c>
      <c r="R119" s="31">
        <f t="shared" si="94"/>
        <v>1.0181138398000601E-2</v>
      </c>
      <c r="S119" s="39" t="str">
        <f t="shared" si="95"/>
        <v xml:space="preserve"> </v>
      </c>
      <c r="T119" s="31">
        <f t="shared" si="96"/>
        <v>-7.5119617855684395E-3</v>
      </c>
      <c r="U119" s="39">
        <f t="shared" si="97"/>
        <v>8.5811383980005599E-3</v>
      </c>
      <c r="V119" s="17">
        <f t="shared" si="98"/>
        <v>-8.4813885394755401E-3</v>
      </c>
      <c r="W119" s="31">
        <f t="shared" si="99"/>
        <v>-7.5119617855684395E-3</v>
      </c>
      <c r="X119" s="39">
        <f t="shared" si="100"/>
        <v>5.6429569867840577E-5</v>
      </c>
      <c r="Y119" s="16">
        <f t="shared" si="101"/>
        <v>0</v>
      </c>
      <c r="Z119" s="39">
        <f t="shared" si="100"/>
        <v>0</v>
      </c>
      <c r="AA119" s="16">
        <f t="shared" si="102"/>
        <v>-8.4813885394755401E-3</v>
      </c>
      <c r="AB119" s="13">
        <f t="shared" ref="AB119" si="165">AA119^2</f>
        <v>7.1933951557547036E-5</v>
      </c>
      <c r="AC119" s="33">
        <f t="shared" si="104"/>
        <v>-5.9119617855683997E-3</v>
      </c>
      <c r="AD119" s="39">
        <f t="shared" si="105"/>
        <v>3.49512921540211E-5</v>
      </c>
      <c r="AE119" s="16">
        <f t="shared" si="106"/>
        <v>0</v>
      </c>
      <c r="AF119" s="39">
        <f t="shared" si="107"/>
        <v>0</v>
      </c>
      <c r="AG119" s="16">
        <f t="shared" si="108"/>
        <v>-6.8813885394755003E-3</v>
      </c>
      <c r="AH119" s="39">
        <f t="shared" si="109"/>
        <v>4.7353508231224757E-5</v>
      </c>
      <c r="AI119" s="31">
        <f t="shared" si="110"/>
        <v>-1.609310018356902E-2</v>
      </c>
      <c r="AJ119" s="13">
        <f t="shared" si="111"/>
        <v>-1.7062526937476119E-2</v>
      </c>
    </row>
    <row r="120" spans="1:36" x14ac:dyDescent="0.25">
      <c r="A120" s="29">
        <v>44136</v>
      </c>
      <c r="B120" s="12">
        <v>4.8484794499798103E-2</v>
      </c>
      <c r="C120" s="7">
        <v>1.5000000000000499E-3</v>
      </c>
      <c r="D120" s="7">
        <v>3.9028073152133497E-2</v>
      </c>
      <c r="E120" s="13">
        <v>0.15897479564032599</v>
      </c>
      <c r="F120" s="31">
        <f t="shared" si="89"/>
        <v>1.0484847944997981</v>
      </c>
      <c r="G120" s="7">
        <f t="shared" si="89"/>
        <v>1.0015000000000001</v>
      </c>
      <c r="H120" s="7">
        <f t="shared" si="89"/>
        <v>1.0390280731521335</v>
      </c>
      <c r="I120" s="13">
        <f t="shared" si="89"/>
        <v>1.158974795640326</v>
      </c>
      <c r="J120" s="31">
        <f t="shared" si="112"/>
        <v>2.4290778737764831</v>
      </c>
      <c r="K120" s="7">
        <f>MAX($J$2:J120)</f>
        <v>2.4290778737764831</v>
      </c>
      <c r="L120" s="13">
        <f t="shared" si="90"/>
        <v>0</v>
      </c>
      <c r="M120" s="12">
        <f t="shared" si="113"/>
        <v>7.6856143432741471</v>
      </c>
      <c r="N120" s="7">
        <f>MAX($M$2:M120)</f>
        <v>7.6856143432741471</v>
      </c>
      <c r="O120" s="39">
        <f t="shared" si="91"/>
        <v>0</v>
      </c>
      <c r="P120" s="31">
        <f t="shared" si="92"/>
        <v>4.8484794499798103E-2</v>
      </c>
      <c r="Q120" s="13" t="str">
        <f t="shared" si="93"/>
        <v xml:space="preserve"> </v>
      </c>
      <c r="R120" s="31">
        <f t="shared" si="94"/>
        <v>3.9028073152133497E-2</v>
      </c>
      <c r="S120" s="39" t="str">
        <f t="shared" si="95"/>
        <v xml:space="preserve"> </v>
      </c>
      <c r="T120" s="31">
        <f t="shared" si="96"/>
        <v>4.6984794499798054E-2</v>
      </c>
      <c r="U120" s="39">
        <f t="shared" si="97"/>
        <v>3.7528073152133447E-2</v>
      </c>
      <c r="V120" s="17">
        <f t="shared" si="98"/>
        <v>0.15747479564032593</v>
      </c>
      <c r="W120" s="31">
        <f t="shared" si="99"/>
        <v>0</v>
      </c>
      <c r="X120" s="39">
        <f t="shared" si="100"/>
        <v>0</v>
      </c>
      <c r="Y120" s="16">
        <f t="shared" si="101"/>
        <v>0</v>
      </c>
      <c r="Z120" s="39">
        <f t="shared" si="100"/>
        <v>0</v>
      </c>
      <c r="AA120" s="16">
        <f t="shared" si="102"/>
        <v>0</v>
      </c>
      <c r="AB120" s="13">
        <f t="shared" ref="AB120" si="166">AA120^2</f>
        <v>0</v>
      </c>
      <c r="AC120" s="33">
        <f t="shared" si="104"/>
        <v>0</v>
      </c>
      <c r="AD120" s="39">
        <f t="shared" si="105"/>
        <v>0</v>
      </c>
      <c r="AE120" s="16">
        <f t="shared" si="106"/>
        <v>0</v>
      </c>
      <c r="AF120" s="39">
        <f t="shared" si="107"/>
        <v>0</v>
      </c>
      <c r="AG120" s="16">
        <f t="shared" si="108"/>
        <v>0</v>
      </c>
      <c r="AH120" s="39">
        <f t="shared" si="109"/>
        <v>0</v>
      </c>
      <c r="AI120" s="31">
        <f t="shared" si="110"/>
        <v>9.4567213476646206E-3</v>
      </c>
      <c r="AJ120" s="13">
        <f t="shared" si="111"/>
        <v>0.11994672248819249</v>
      </c>
    </row>
    <row r="121" spans="1:36" x14ac:dyDescent="0.25">
      <c r="A121" s="29">
        <v>44166</v>
      </c>
      <c r="B121" s="12">
        <v>3.8042791530961101E-2</v>
      </c>
      <c r="C121" s="7">
        <v>1.60000000000004E-3</v>
      </c>
      <c r="D121" s="7">
        <v>1.3427692893886701E-2</v>
      </c>
      <c r="E121" s="13">
        <v>9.5676291235030395E-2</v>
      </c>
      <c r="F121" s="31">
        <f t="shared" si="89"/>
        <v>1.0380427915309611</v>
      </c>
      <c r="G121" s="7">
        <f t="shared" si="89"/>
        <v>1.0016</v>
      </c>
      <c r="H121" s="7">
        <f t="shared" si="89"/>
        <v>1.0134276928938868</v>
      </c>
      <c r="I121" s="13">
        <f t="shared" si="89"/>
        <v>1.0956762912350304</v>
      </c>
      <c r="J121" s="31">
        <f t="shared" si="112"/>
        <v>2.5214867769410323</v>
      </c>
      <c r="K121" s="7">
        <f>MAX($J$2:J121)</f>
        <v>2.5214867769410323</v>
      </c>
      <c r="L121" s="13">
        <f t="shared" si="90"/>
        <v>0</v>
      </c>
      <c r="M121" s="12">
        <f t="shared" si="113"/>
        <v>7.7888144123764835</v>
      </c>
      <c r="N121" s="7">
        <f>MAX($M$2:M121)</f>
        <v>7.7888144123764835</v>
      </c>
      <c r="O121" s="39">
        <f t="shared" si="91"/>
        <v>0</v>
      </c>
      <c r="P121" s="31">
        <f t="shared" si="92"/>
        <v>3.8042791530961101E-2</v>
      </c>
      <c r="Q121" s="13" t="str">
        <f t="shared" si="93"/>
        <v xml:space="preserve"> </v>
      </c>
      <c r="R121" s="31">
        <f t="shared" si="94"/>
        <v>1.3427692893886701E-2</v>
      </c>
      <c r="S121" s="39" t="str">
        <f t="shared" si="95"/>
        <v xml:space="preserve"> </v>
      </c>
      <c r="T121" s="31">
        <f t="shared" si="96"/>
        <v>3.6442791530961062E-2</v>
      </c>
      <c r="U121" s="39">
        <f t="shared" si="97"/>
        <v>1.182769289388666E-2</v>
      </c>
      <c r="V121" s="17">
        <f t="shared" si="98"/>
        <v>9.4076291235030349E-2</v>
      </c>
      <c r="W121" s="31">
        <f t="shared" si="99"/>
        <v>0</v>
      </c>
      <c r="X121" s="39">
        <f t="shared" si="100"/>
        <v>0</v>
      </c>
      <c r="Y121" s="16">
        <f t="shared" si="101"/>
        <v>0</v>
      </c>
      <c r="Z121" s="39">
        <f t="shared" si="100"/>
        <v>0</v>
      </c>
      <c r="AA121" s="16">
        <f t="shared" si="102"/>
        <v>0</v>
      </c>
      <c r="AB121" s="13">
        <f t="shared" ref="AB121" si="167">AA121^2</f>
        <v>0</v>
      </c>
      <c r="AC121" s="33">
        <f t="shared" si="104"/>
        <v>0</v>
      </c>
      <c r="AD121" s="39">
        <f t="shared" si="105"/>
        <v>0</v>
      </c>
      <c r="AE121" s="16">
        <f t="shared" si="106"/>
        <v>0</v>
      </c>
      <c r="AF121" s="39">
        <f t="shared" si="107"/>
        <v>0</v>
      </c>
      <c r="AG121" s="16">
        <f t="shared" si="108"/>
        <v>0</v>
      </c>
      <c r="AH121" s="39">
        <f t="shared" si="109"/>
        <v>0</v>
      </c>
      <c r="AI121" s="31">
        <f t="shared" si="110"/>
        <v>2.461509863707434E-2</v>
      </c>
      <c r="AJ121" s="13">
        <f t="shared" si="111"/>
        <v>8.2248598341143619E-2</v>
      </c>
    </row>
    <row r="122" spans="1:36" x14ac:dyDescent="0.25">
      <c r="A122" s="29">
        <v>44197</v>
      </c>
      <c r="B122" s="12">
        <v>1.7501001444384101E-2</v>
      </c>
      <c r="C122" s="7">
        <v>1.5000000000000499E-3</v>
      </c>
      <c r="D122" s="7">
        <v>5.5938779468713597E-2</v>
      </c>
      <c r="E122" s="13">
        <v>-2.7651584999916101E-2</v>
      </c>
      <c r="F122" s="31">
        <f t="shared" si="89"/>
        <v>1.0175010014443842</v>
      </c>
      <c r="G122" s="7">
        <f t="shared" si="89"/>
        <v>1.0015000000000001</v>
      </c>
      <c r="H122" s="7">
        <f t="shared" si="89"/>
        <v>1.0559387794687136</v>
      </c>
      <c r="I122" s="13">
        <f t="shared" si="89"/>
        <v>0.97234841500008384</v>
      </c>
      <c r="J122" s="31">
        <f t="shared" si="112"/>
        <v>2.5656153206662728</v>
      </c>
      <c r="K122" s="7">
        <f>MAX($J$2:J122)</f>
        <v>2.5656153206662728</v>
      </c>
      <c r="L122" s="13">
        <f t="shared" si="90"/>
        <v>0</v>
      </c>
      <c r="M122" s="12">
        <f t="shared" si="113"/>
        <v>8.2245111841131493</v>
      </c>
      <c r="N122" s="7">
        <f>MAX($M$2:M122)</f>
        <v>8.2245111841131493</v>
      </c>
      <c r="O122" s="39">
        <f t="shared" si="91"/>
        <v>0</v>
      </c>
      <c r="P122" s="31">
        <f t="shared" si="92"/>
        <v>1.7501001444384101E-2</v>
      </c>
      <c r="Q122" s="13" t="str">
        <f t="shared" si="93"/>
        <v xml:space="preserve"> </v>
      </c>
      <c r="R122" s="31">
        <f t="shared" si="94"/>
        <v>5.5938779468713597E-2</v>
      </c>
      <c r="S122" s="39" t="str">
        <f t="shared" si="95"/>
        <v xml:space="preserve"> </v>
      </c>
      <c r="T122" s="31">
        <f t="shared" si="96"/>
        <v>1.6001001444384051E-2</v>
      </c>
      <c r="U122" s="39">
        <f t="shared" si="97"/>
        <v>5.4438779468713547E-2</v>
      </c>
      <c r="V122" s="17">
        <f t="shared" si="98"/>
        <v>-2.9151584999916151E-2</v>
      </c>
      <c r="W122" s="31">
        <f t="shared" si="99"/>
        <v>0</v>
      </c>
      <c r="X122" s="39">
        <f t="shared" si="100"/>
        <v>0</v>
      </c>
      <c r="Y122" s="16">
        <f t="shared" si="101"/>
        <v>0</v>
      </c>
      <c r="Z122" s="39">
        <f t="shared" si="100"/>
        <v>0</v>
      </c>
      <c r="AA122" s="16">
        <f t="shared" si="102"/>
        <v>-2.9151584999916151E-2</v>
      </c>
      <c r="AB122" s="13">
        <f t="shared" ref="AB122" si="168">AA122^2</f>
        <v>8.4981490800733637E-4</v>
      </c>
      <c r="AC122" s="33">
        <f t="shared" si="104"/>
        <v>0</v>
      </c>
      <c r="AD122" s="39">
        <f t="shared" si="105"/>
        <v>0</v>
      </c>
      <c r="AE122" s="16">
        <f t="shared" si="106"/>
        <v>0</v>
      </c>
      <c r="AF122" s="39">
        <f t="shared" si="107"/>
        <v>0</v>
      </c>
      <c r="AG122" s="16">
        <f t="shared" si="108"/>
        <v>-2.7651584999916101E-2</v>
      </c>
      <c r="AH122" s="39">
        <f t="shared" si="109"/>
        <v>7.646101530075851E-4</v>
      </c>
      <c r="AI122" s="31">
        <f t="shared" si="110"/>
        <v>-3.8437778024329461E-2</v>
      </c>
      <c r="AJ122" s="13">
        <f t="shared" si="111"/>
        <v>-8.3590364468629774E-2</v>
      </c>
    </row>
    <row r="123" spans="1:36" x14ac:dyDescent="0.25">
      <c r="A123" s="29">
        <v>44228</v>
      </c>
      <c r="B123" s="12">
        <v>-4.4197538935053499E-4</v>
      </c>
      <c r="C123" s="7">
        <v>1.30000000000007E-3</v>
      </c>
      <c r="D123" s="7">
        <v>5.2461427727020997E-2</v>
      </c>
      <c r="E123" s="13">
        <v>-5.1479652089959999E-2</v>
      </c>
      <c r="F123" s="31">
        <f t="shared" si="89"/>
        <v>0.99955802461064946</v>
      </c>
      <c r="G123" s="7">
        <f t="shared" si="89"/>
        <v>1.0013000000000001</v>
      </c>
      <c r="H123" s="7">
        <f t="shared" si="89"/>
        <v>1.052461427727021</v>
      </c>
      <c r="I123" s="13">
        <f t="shared" si="89"/>
        <v>0.94852034791004003</v>
      </c>
      <c r="J123" s="31">
        <f t="shared" si="112"/>
        <v>2.5644813818359977</v>
      </c>
      <c r="K123" s="7">
        <f>MAX($J$2:J123)</f>
        <v>2.5656153206662728</v>
      </c>
      <c r="L123" s="13">
        <f t="shared" si="90"/>
        <v>-4.4197538935051699E-4</v>
      </c>
      <c r="M123" s="12">
        <f t="shared" si="113"/>
        <v>8.6559807831885767</v>
      </c>
      <c r="N123" s="7">
        <f>MAX($M$2:M123)</f>
        <v>8.6559807831885767</v>
      </c>
      <c r="O123" s="39">
        <f t="shared" si="91"/>
        <v>0</v>
      </c>
      <c r="P123" s="31" t="str">
        <f t="shared" si="92"/>
        <v xml:space="preserve"> </v>
      </c>
      <c r="Q123" s="13">
        <f t="shared" si="93"/>
        <v>-4.4197538935053499E-4</v>
      </c>
      <c r="R123" s="31">
        <f t="shared" si="94"/>
        <v>5.2461427727020997E-2</v>
      </c>
      <c r="S123" s="39" t="str">
        <f t="shared" si="95"/>
        <v xml:space="preserve"> </v>
      </c>
      <c r="T123" s="31">
        <f t="shared" si="96"/>
        <v>-1.7419753893506049E-3</v>
      </c>
      <c r="U123" s="39">
        <f t="shared" si="97"/>
        <v>5.1161427727020925E-2</v>
      </c>
      <c r="V123" s="17">
        <f t="shared" si="98"/>
        <v>-5.277965208996007E-2</v>
      </c>
      <c r="W123" s="31">
        <f t="shared" si="99"/>
        <v>-1.7419753893506049E-3</v>
      </c>
      <c r="X123" s="39">
        <f t="shared" si="100"/>
        <v>3.0344782571031916E-6</v>
      </c>
      <c r="Y123" s="16">
        <f t="shared" si="101"/>
        <v>0</v>
      </c>
      <c r="Z123" s="39">
        <f t="shared" si="100"/>
        <v>0</v>
      </c>
      <c r="AA123" s="16">
        <f t="shared" si="102"/>
        <v>-5.277965208996007E-2</v>
      </c>
      <c r="AB123" s="13">
        <f t="shared" ref="AB123" si="169">AA123^2</f>
        <v>2.7856916747372265E-3</v>
      </c>
      <c r="AC123" s="33">
        <f t="shared" si="104"/>
        <v>-4.4197538935053499E-4</v>
      </c>
      <c r="AD123" s="39">
        <f t="shared" si="105"/>
        <v>1.9534224479155699E-7</v>
      </c>
      <c r="AE123" s="16">
        <f t="shared" si="106"/>
        <v>0</v>
      </c>
      <c r="AF123" s="39">
        <f t="shared" si="107"/>
        <v>0</v>
      </c>
      <c r="AG123" s="16">
        <f t="shared" si="108"/>
        <v>-5.1479652089959999E-2</v>
      </c>
      <c r="AH123" s="39">
        <f t="shared" si="109"/>
        <v>2.6501545793033228E-3</v>
      </c>
      <c r="AI123" s="31">
        <f t="shared" si="110"/>
        <v>-5.2903403116371539E-2</v>
      </c>
      <c r="AJ123" s="13">
        <f t="shared" si="111"/>
        <v>-0.10394107981698097</v>
      </c>
    </row>
    <row r="124" spans="1:36" x14ac:dyDescent="0.25">
      <c r="A124" s="29">
        <v>44256</v>
      </c>
      <c r="B124" s="12">
        <v>2.6075936698877599E-2</v>
      </c>
      <c r="C124" s="7">
        <v>2E-3</v>
      </c>
      <c r="D124" s="7">
        <v>5.7720972978777298E-2</v>
      </c>
      <c r="E124" s="13">
        <v>5.9971827145908201E-2</v>
      </c>
      <c r="F124" s="31">
        <f t="shared" si="89"/>
        <v>1.0260759366988776</v>
      </c>
      <c r="G124" s="7">
        <f t="shared" si="89"/>
        <v>1.002</v>
      </c>
      <c r="H124" s="7">
        <f t="shared" si="89"/>
        <v>1.0577209729787773</v>
      </c>
      <c r="I124" s="13">
        <f t="shared" si="89"/>
        <v>1.0599718271459082</v>
      </c>
      <c r="J124" s="31">
        <f t="shared" si="112"/>
        <v>2.6313526360142037</v>
      </c>
      <c r="K124" s="7">
        <f>MAX($J$2:J124)</f>
        <v>2.6313526360142037</v>
      </c>
      <c r="L124" s="13">
        <f t="shared" si="90"/>
        <v>0</v>
      </c>
      <c r="M124" s="12">
        <f t="shared" si="113"/>
        <v>9.1556124160798209</v>
      </c>
      <c r="N124" s="7">
        <f>MAX($M$2:M124)</f>
        <v>9.1556124160798209</v>
      </c>
      <c r="O124" s="39">
        <f t="shared" si="91"/>
        <v>0</v>
      </c>
      <c r="P124" s="31">
        <f t="shared" si="92"/>
        <v>2.6075936698877599E-2</v>
      </c>
      <c r="Q124" s="13" t="str">
        <f t="shared" si="93"/>
        <v xml:space="preserve"> </v>
      </c>
      <c r="R124" s="31">
        <f t="shared" si="94"/>
        <v>5.7720972978777298E-2</v>
      </c>
      <c r="S124" s="39" t="str">
        <f t="shared" si="95"/>
        <v xml:space="preserve"> </v>
      </c>
      <c r="T124" s="31">
        <f t="shared" si="96"/>
        <v>2.4075936698877601E-2</v>
      </c>
      <c r="U124" s="39">
        <f t="shared" si="97"/>
        <v>5.5720972978777296E-2</v>
      </c>
      <c r="V124" s="17">
        <f t="shared" si="98"/>
        <v>5.7971827145908199E-2</v>
      </c>
      <c r="W124" s="31">
        <f t="shared" si="99"/>
        <v>0</v>
      </c>
      <c r="X124" s="39">
        <f t="shared" si="100"/>
        <v>0</v>
      </c>
      <c r="Y124" s="16">
        <f t="shared" si="101"/>
        <v>0</v>
      </c>
      <c r="Z124" s="39">
        <f t="shared" si="100"/>
        <v>0</v>
      </c>
      <c r="AA124" s="16">
        <f t="shared" si="102"/>
        <v>0</v>
      </c>
      <c r="AB124" s="13">
        <f t="shared" ref="AB124" si="170">AA124^2</f>
        <v>0</v>
      </c>
      <c r="AC124" s="33">
        <f t="shared" si="104"/>
        <v>0</v>
      </c>
      <c r="AD124" s="39">
        <f t="shared" si="105"/>
        <v>0</v>
      </c>
      <c r="AE124" s="16">
        <f t="shared" si="106"/>
        <v>0</v>
      </c>
      <c r="AF124" s="39">
        <f t="shared" si="107"/>
        <v>0</v>
      </c>
      <c r="AG124" s="16">
        <f t="shared" si="108"/>
        <v>0</v>
      </c>
      <c r="AH124" s="39">
        <f t="shared" si="109"/>
        <v>0</v>
      </c>
      <c r="AI124" s="31">
        <f t="shared" si="110"/>
        <v>-3.1645036279899674E-2</v>
      </c>
      <c r="AJ124" s="13">
        <f t="shared" si="111"/>
        <v>2.250854167130889E-3</v>
      </c>
    </row>
    <row r="125" spans="1:36" x14ac:dyDescent="0.25">
      <c r="A125" s="29">
        <v>44287</v>
      </c>
      <c r="B125" s="12">
        <v>3.2319891240735803E-2</v>
      </c>
      <c r="C125" s="7">
        <v>2.0999999999999899E-3</v>
      </c>
      <c r="D125" s="7">
        <v>-3.4688388747875797E-2</v>
      </c>
      <c r="E125" s="13">
        <v>1.9376854090573801E-2</v>
      </c>
      <c r="F125" s="31">
        <f t="shared" si="89"/>
        <v>1.0323198912407359</v>
      </c>
      <c r="G125" s="7">
        <f t="shared" si="89"/>
        <v>1.0021</v>
      </c>
      <c r="H125" s="7">
        <f t="shared" si="89"/>
        <v>0.96531161125212417</v>
      </c>
      <c r="I125" s="13">
        <f t="shared" si="89"/>
        <v>1.0193768540905739</v>
      </c>
      <c r="J125" s="31">
        <f t="shared" si="112"/>
        <v>2.7163976670262064</v>
      </c>
      <c r="K125" s="7">
        <f>MAX($J$2:J125)</f>
        <v>2.7163976670262064</v>
      </c>
      <c r="L125" s="13">
        <f t="shared" si="90"/>
        <v>0</v>
      </c>
      <c r="M125" s="12">
        <f t="shared" si="113"/>
        <v>8.8380189733659655</v>
      </c>
      <c r="N125" s="7">
        <f>MAX($M$2:M125)</f>
        <v>9.1556124160798209</v>
      </c>
      <c r="O125" s="39">
        <f t="shared" si="91"/>
        <v>-3.4688388747875817E-2</v>
      </c>
      <c r="P125" s="31">
        <f t="shared" si="92"/>
        <v>3.2319891240735803E-2</v>
      </c>
      <c r="Q125" s="13" t="str">
        <f t="shared" si="93"/>
        <v xml:space="preserve"> </v>
      </c>
      <c r="R125" s="31" t="str">
        <f t="shared" si="94"/>
        <v xml:space="preserve"> </v>
      </c>
      <c r="S125" s="39">
        <f t="shared" si="95"/>
        <v>-3.4688388747875797E-2</v>
      </c>
      <c r="T125" s="31">
        <f t="shared" si="96"/>
        <v>3.0219891240735812E-2</v>
      </c>
      <c r="U125" s="39">
        <f t="shared" si="97"/>
        <v>-3.6788388747875787E-2</v>
      </c>
      <c r="V125" s="17">
        <f t="shared" si="98"/>
        <v>1.727685409057381E-2</v>
      </c>
      <c r="W125" s="31">
        <f t="shared" si="99"/>
        <v>0</v>
      </c>
      <c r="X125" s="39">
        <f t="shared" si="100"/>
        <v>0</v>
      </c>
      <c r="Y125" s="16">
        <f t="shared" si="101"/>
        <v>-3.6788388747875787E-2</v>
      </c>
      <c r="Z125" s="39">
        <f t="shared" si="100"/>
        <v>1.3533855466648338E-3</v>
      </c>
      <c r="AA125" s="16">
        <f t="shared" si="102"/>
        <v>0</v>
      </c>
      <c r="AB125" s="13">
        <f t="shared" ref="AB125" si="171">AA125^2</f>
        <v>0</v>
      </c>
      <c r="AC125" s="33">
        <f t="shared" si="104"/>
        <v>0</v>
      </c>
      <c r="AD125" s="39">
        <f t="shared" si="105"/>
        <v>0</v>
      </c>
      <c r="AE125" s="16">
        <f t="shared" si="106"/>
        <v>-3.4688388747875797E-2</v>
      </c>
      <c r="AF125" s="39">
        <f t="shared" si="107"/>
        <v>1.2032843139237561E-3</v>
      </c>
      <c r="AG125" s="16">
        <f t="shared" si="108"/>
        <v>0</v>
      </c>
      <c r="AH125" s="39">
        <f t="shared" si="109"/>
        <v>0</v>
      </c>
      <c r="AI125" s="31">
        <f t="shared" si="110"/>
        <v>6.7008279988611696E-2</v>
      </c>
      <c r="AJ125" s="13">
        <f t="shared" si="111"/>
        <v>5.4065242838449712E-2</v>
      </c>
    </row>
    <row r="126" spans="1:36" x14ac:dyDescent="0.25">
      <c r="A126" s="29">
        <v>44317</v>
      </c>
      <c r="B126" s="12">
        <v>3.0971022742605201E-3</v>
      </c>
      <c r="C126" s="7">
        <v>2.6999999999999199E-3</v>
      </c>
      <c r="D126" s="7">
        <v>-2.9372957454635298E-3</v>
      </c>
      <c r="E126" s="13">
        <v>6.1584268339865703E-2</v>
      </c>
      <c r="F126" s="31">
        <f t="shared" si="89"/>
        <v>1.0030971022742605</v>
      </c>
      <c r="G126" s="7">
        <f t="shared" si="89"/>
        <v>1.0026999999999999</v>
      </c>
      <c r="H126" s="7">
        <f t="shared" si="89"/>
        <v>0.99706270425453647</v>
      </c>
      <c r="I126" s="13">
        <f t="shared" si="89"/>
        <v>1.0615842683398657</v>
      </c>
      <c r="J126" s="31">
        <f t="shared" si="112"/>
        <v>2.7248106284185494</v>
      </c>
      <c r="K126" s="7">
        <f>MAX($J$2:J126)</f>
        <v>2.7248106284185494</v>
      </c>
      <c r="L126" s="13">
        <f t="shared" si="90"/>
        <v>0</v>
      </c>
      <c r="M126" s="12">
        <f t="shared" si="113"/>
        <v>8.8120590978371709</v>
      </c>
      <c r="N126" s="7">
        <f>MAX($M$2:M126)</f>
        <v>9.1556124160798209</v>
      </c>
      <c r="O126" s="39">
        <f t="shared" si="91"/>
        <v>-3.7523794436653317E-2</v>
      </c>
      <c r="P126" s="31">
        <f t="shared" si="92"/>
        <v>3.0971022742605201E-3</v>
      </c>
      <c r="Q126" s="13" t="str">
        <f t="shared" si="93"/>
        <v xml:space="preserve"> </v>
      </c>
      <c r="R126" s="31" t="str">
        <f t="shared" si="94"/>
        <v xml:space="preserve"> </v>
      </c>
      <c r="S126" s="39">
        <f t="shared" si="95"/>
        <v>-2.9372957454635298E-3</v>
      </c>
      <c r="T126" s="31">
        <f t="shared" si="96"/>
        <v>3.9710227426060021E-4</v>
      </c>
      <c r="U126" s="39">
        <f t="shared" si="97"/>
        <v>-5.6372957454634502E-3</v>
      </c>
      <c r="V126" s="17">
        <f t="shared" si="98"/>
        <v>5.8884268339865785E-2</v>
      </c>
      <c r="W126" s="31">
        <f t="shared" si="99"/>
        <v>0</v>
      </c>
      <c r="X126" s="39">
        <f t="shared" si="100"/>
        <v>0</v>
      </c>
      <c r="Y126" s="16">
        <f t="shared" si="101"/>
        <v>-5.6372957454634502E-3</v>
      </c>
      <c r="Z126" s="39">
        <f t="shared" si="100"/>
        <v>3.1779103321820319E-5</v>
      </c>
      <c r="AA126" s="16">
        <f t="shared" si="102"/>
        <v>0</v>
      </c>
      <c r="AB126" s="13">
        <f t="shared" ref="AB126" si="172">AA126^2</f>
        <v>0</v>
      </c>
      <c r="AC126" s="33">
        <f t="shared" si="104"/>
        <v>0</v>
      </c>
      <c r="AD126" s="39">
        <f t="shared" si="105"/>
        <v>0</v>
      </c>
      <c r="AE126" s="16">
        <f t="shared" si="106"/>
        <v>-2.9372957454635298E-3</v>
      </c>
      <c r="AF126" s="39">
        <f t="shared" si="107"/>
        <v>8.6277062963181527E-6</v>
      </c>
      <c r="AG126" s="16">
        <f t="shared" si="108"/>
        <v>0</v>
      </c>
      <c r="AH126" s="39">
        <f t="shared" si="109"/>
        <v>0</v>
      </c>
      <c r="AI126" s="31">
        <f t="shared" si="110"/>
        <v>6.0343980197240521E-3</v>
      </c>
      <c r="AJ126" s="13">
        <f t="shared" si="111"/>
        <v>6.4521564085329275E-2</v>
      </c>
    </row>
    <row r="127" spans="1:36" x14ac:dyDescent="0.25">
      <c r="A127" s="29">
        <v>44348</v>
      </c>
      <c r="B127" s="12">
        <v>2.4908029810470902E-3</v>
      </c>
      <c r="C127" s="7">
        <v>3.1000000000001001E-3</v>
      </c>
      <c r="D127" s="7">
        <v>-4.7574613812544901E-2</v>
      </c>
      <c r="E127" s="13">
        <v>4.6428345059263904E-3</v>
      </c>
      <c r="F127" s="31">
        <f t="shared" si="89"/>
        <v>1.0024908029810471</v>
      </c>
      <c r="G127" s="7">
        <f t="shared" si="89"/>
        <v>1.0031000000000001</v>
      </c>
      <c r="H127" s="7">
        <f t="shared" si="89"/>
        <v>0.95242538618745509</v>
      </c>
      <c r="I127" s="13">
        <f t="shared" si="89"/>
        <v>1.0046428345059264</v>
      </c>
      <c r="J127" s="31">
        <f t="shared" si="112"/>
        <v>2.7315975948546032</v>
      </c>
      <c r="K127" s="7">
        <f>MAX($J$2:J127)</f>
        <v>2.7315975948546032</v>
      </c>
      <c r="L127" s="13">
        <f t="shared" si="90"/>
        <v>0</v>
      </c>
      <c r="M127" s="12">
        <f t="shared" si="113"/>
        <v>8.3928287893642448</v>
      </c>
      <c r="N127" s="7">
        <f>MAX($M$2:M127)</f>
        <v>9.1556124160798209</v>
      </c>
      <c r="O127" s="39">
        <f t="shared" si="91"/>
        <v>-8.33132282200931E-2</v>
      </c>
      <c r="P127" s="31">
        <f t="shared" si="92"/>
        <v>2.4908029810470902E-3</v>
      </c>
      <c r="Q127" s="13" t="str">
        <f t="shared" si="93"/>
        <v xml:space="preserve"> </v>
      </c>
      <c r="R127" s="31" t="str">
        <f t="shared" si="94"/>
        <v xml:space="preserve"> </v>
      </c>
      <c r="S127" s="39">
        <f t="shared" si="95"/>
        <v>-4.7574613812544901E-2</v>
      </c>
      <c r="T127" s="31">
        <f t="shared" si="96"/>
        <v>-6.0919701895300986E-4</v>
      </c>
      <c r="U127" s="39">
        <f t="shared" si="97"/>
        <v>-5.0674613812545004E-2</v>
      </c>
      <c r="V127" s="17">
        <f t="shared" si="98"/>
        <v>1.5428345059262903E-3</v>
      </c>
      <c r="W127" s="31">
        <f t="shared" si="99"/>
        <v>-6.0919701895300986E-4</v>
      </c>
      <c r="X127" s="39">
        <f t="shared" si="100"/>
        <v>3.7112100790123385E-7</v>
      </c>
      <c r="Y127" s="16">
        <f t="shared" si="101"/>
        <v>-5.0674613812545004E-2</v>
      </c>
      <c r="Z127" s="39">
        <f t="shared" si="100"/>
        <v>2.5679164850505769E-3</v>
      </c>
      <c r="AA127" s="16">
        <f t="shared" si="102"/>
        <v>0</v>
      </c>
      <c r="AB127" s="13">
        <f t="shared" ref="AB127" si="173">AA127^2</f>
        <v>0</v>
      </c>
      <c r="AC127" s="33">
        <f t="shared" si="104"/>
        <v>0</v>
      </c>
      <c r="AD127" s="39">
        <f t="shared" si="105"/>
        <v>0</v>
      </c>
      <c r="AE127" s="16">
        <f t="shared" si="106"/>
        <v>-4.7574613812544901E-2</v>
      </c>
      <c r="AF127" s="39">
        <f t="shared" si="107"/>
        <v>2.2633438794127879E-3</v>
      </c>
      <c r="AG127" s="16">
        <f t="shared" si="108"/>
        <v>0</v>
      </c>
      <c r="AH127" s="39">
        <f t="shared" si="109"/>
        <v>0</v>
      </c>
      <c r="AI127" s="31">
        <f t="shared" si="110"/>
        <v>5.0065416793591999E-2</v>
      </c>
      <c r="AJ127" s="13">
        <f t="shared" si="111"/>
        <v>5.2217448318471305E-2</v>
      </c>
    </row>
    <row r="128" spans="1:36" x14ac:dyDescent="0.25">
      <c r="A128" s="29">
        <v>44378</v>
      </c>
      <c r="B128" s="12">
        <v>1.18859441607597E-2</v>
      </c>
      <c r="C128" s="7">
        <v>3.6000000000000398E-3</v>
      </c>
      <c r="D128" s="7">
        <v>6.1699936862986603E-2</v>
      </c>
      <c r="E128" s="13">
        <v>-3.9439441018280397E-2</v>
      </c>
      <c r="F128" s="31">
        <f t="shared" si="89"/>
        <v>1.0118859441607597</v>
      </c>
      <c r="G128" s="7">
        <f t="shared" si="89"/>
        <v>1.0036</v>
      </c>
      <c r="H128" s="7">
        <f t="shared" si="89"/>
        <v>1.0616999368629867</v>
      </c>
      <c r="I128" s="13">
        <f t="shared" si="89"/>
        <v>0.96056055898171966</v>
      </c>
      <c r="J128" s="31">
        <f t="shared" si="112"/>
        <v>2.7640652113367103</v>
      </c>
      <c r="K128" s="7">
        <f>MAX($J$2:J128)</f>
        <v>2.7640652113367103</v>
      </c>
      <c r="L128" s="13">
        <f t="shared" si="90"/>
        <v>0</v>
      </c>
      <c r="M128" s="12">
        <f t="shared" si="113"/>
        <v>8.9106657957698765</v>
      </c>
      <c r="N128" s="7">
        <f>MAX($M$2:M128)</f>
        <v>9.1556124160798209</v>
      </c>
      <c r="O128" s="39">
        <f t="shared" si="91"/>
        <v>-2.6753712278137672E-2</v>
      </c>
      <c r="P128" s="31">
        <f t="shared" si="92"/>
        <v>1.18859441607597E-2</v>
      </c>
      <c r="Q128" s="13" t="str">
        <f t="shared" si="93"/>
        <v xml:space="preserve"> </v>
      </c>
      <c r="R128" s="31">
        <f t="shared" si="94"/>
        <v>6.1699936862986603E-2</v>
      </c>
      <c r="S128" s="39" t="str">
        <f t="shared" si="95"/>
        <v xml:space="preserve"> </v>
      </c>
      <c r="T128" s="31">
        <f t="shared" si="96"/>
        <v>8.285944160759659E-3</v>
      </c>
      <c r="U128" s="39">
        <f t="shared" si="97"/>
        <v>5.8099936862986562E-2</v>
      </c>
      <c r="V128" s="17">
        <f t="shared" si="98"/>
        <v>-4.3039441018280437E-2</v>
      </c>
      <c r="W128" s="31">
        <f t="shared" si="99"/>
        <v>0</v>
      </c>
      <c r="X128" s="39">
        <f t="shared" si="100"/>
        <v>0</v>
      </c>
      <c r="Y128" s="16">
        <f t="shared" si="101"/>
        <v>0</v>
      </c>
      <c r="Z128" s="39">
        <f t="shared" si="100"/>
        <v>0</v>
      </c>
      <c r="AA128" s="16">
        <f t="shared" si="102"/>
        <v>-4.3039441018280437E-2</v>
      </c>
      <c r="AB128" s="13">
        <f t="shared" ref="AB128" si="174">AA128^2</f>
        <v>1.8523934831660405E-3</v>
      </c>
      <c r="AC128" s="33">
        <f t="shared" si="104"/>
        <v>0</v>
      </c>
      <c r="AD128" s="39">
        <f t="shared" si="105"/>
        <v>0</v>
      </c>
      <c r="AE128" s="16">
        <f t="shared" si="106"/>
        <v>0</v>
      </c>
      <c r="AF128" s="39">
        <f t="shared" si="107"/>
        <v>0</v>
      </c>
      <c r="AG128" s="16">
        <f t="shared" si="108"/>
        <v>-3.9439441018280397E-2</v>
      </c>
      <c r="AH128" s="39">
        <f t="shared" si="109"/>
        <v>1.5554695078344183E-3</v>
      </c>
      <c r="AI128" s="31">
        <f t="shared" si="110"/>
        <v>-4.9813992702226972E-2</v>
      </c>
      <c r="AJ128" s="13">
        <f t="shared" si="111"/>
        <v>-0.10113937788126703</v>
      </c>
    </row>
    <row r="129" spans="1:36" x14ac:dyDescent="0.25">
      <c r="A129" s="29">
        <v>44409</v>
      </c>
      <c r="B129" s="12">
        <v>3.0584417563210798E-3</v>
      </c>
      <c r="C129" s="7">
        <v>4.2999999999999696E-3</v>
      </c>
      <c r="D129" s="7">
        <v>1.8765644293440902E-2</v>
      </c>
      <c r="E129" s="13">
        <v>-2.4794541916732998E-2</v>
      </c>
      <c r="F129" s="31">
        <f t="shared" si="89"/>
        <v>1.0030584417563211</v>
      </c>
      <c r="G129" s="7">
        <f t="shared" si="89"/>
        <v>1.0043</v>
      </c>
      <c r="H129" s="7">
        <f t="shared" si="89"/>
        <v>1.018765644293441</v>
      </c>
      <c r="I129" s="13">
        <f t="shared" si="89"/>
        <v>0.97520545808326697</v>
      </c>
      <c r="J129" s="31">
        <f t="shared" si="112"/>
        <v>2.772518943796257</v>
      </c>
      <c r="K129" s="7">
        <f>MAX($J$2:J129)</f>
        <v>2.772518943796257</v>
      </c>
      <c r="L129" s="13">
        <f t="shared" si="90"/>
        <v>0</v>
      </c>
      <c r="M129" s="12">
        <f t="shared" si="113"/>
        <v>9.0778801805110252</v>
      </c>
      <c r="N129" s="7">
        <f>MAX($M$2:M129)</f>
        <v>9.1556124160798209</v>
      </c>
      <c r="O129" s="39">
        <f t="shared" si="91"/>
        <v>-8.4901186328372891E-3</v>
      </c>
      <c r="P129" s="31">
        <f t="shared" si="92"/>
        <v>3.0584417563210798E-3</v>
      </c>
      <c r="Q129" s="13" t="str">
        <f t="shared" si="93"/>
        <v xml:space="preserve"> </v>
      </c>
      <c r="R129" s="31">
        <f t="shared" si="94"/>
        <v>1.8765644293440902E-2</v>
      </c>
      <c r="S129" s="39" t="str">
        <f t="shared" si="95"/>
        <v xml:space="preserve"> </v>
      </c>
      <c r="T129" s="31">
        <f t="shared" si="96"/>
        <v>-1.2415582436788898E-3</v>
      </c>
      <c r="U129" s="39">
        <f t="shared" si="97"/>
        <v>1.4465644293440931E-2</v>
      </c>
      <c r="V129" s="17">
        <f t="shared" si="98"/>
        <v>-2.9094541916732969E-2</v>
      </c>
      <c r="W129" s="31">
        <f t="shared" si="99"/>
        <v>-1.2415582436788898E-3</v>
      </c>
      <c r="X129" s="39">
        <f t="shared" si="100"/>
        <v>1.5414668724470094E-6</v>
      </c>
      <c r="Y129" s="16">
        <f t="shared" si="101"/>
        <v>0</v>
      </c>
      <c r="Z129" s="39">
        <f t="shared" si="100"/>
        <v>0</v>
      </c>
      <c r="AA129" s="16">
        <f t="shared" si="102"/>
        <v>-2.9094541916732969E-2</v>
      </c>
      <c r="AB129" s="13">
        <f t="shared" ref="AB129" si="175">AA129^2</f>
        <v>8.4649236934453175E-4</v>
      </c>
      <c r="AC129" s="33">
        <f t="shared" si="104"/>
        <v>0</v>
      </c>
      <c r="AD129" s="39">
        <f t="shared" si="105"/>
        <v>0</v>
      </c>
      <c r="AE129" s="16">
        <f t="shared" si="106"/>
        <v>0</v>
      </c>
      <c r="AF129" s="39">
        <f t="shared" si="107"/>
        <v>0</v>
      </c>
      <c r="AG129" s="16">
        <f t="shared" si="108"/>
        <v>-2.4794541916732998E-2</v>
      </c>
      <c r="AH129" s="39">
        <f t="shared" si="109"/>
        <v>6.1476930886062971E-4</v>
      </c>
      <c r="AI129" s="31">
        <f t="shared" si="110"/>
        <v>-1.570720253711988E-2</v>
      </c>
      <c r="AJ129" s="13">
        <f t="shared" si="111"/>
        <v>-4.356018621017399E-2</v>
      </c>
    </row>
    <row r="130" spans="1:36" x14ac:dyDescent="0.25">
      <c r="A130" s="29">
        <v>44440</v>
      </c>
      <c r="B130" s="12">
        <v>-6.74046663263605E-3</v>
      </c>
      <c r="C130" s="7">
        <v>4.39999999999995E-3</v>
      </c>
      <c r="D130" s="7">
        <v>-2.1912464717409501E-3</v>
      </c>
      <c r="E130" s="13">
        <v>-6.5683905675150006E-2</v>
      </c>
      <c r="F130" s="31">
        <f t="shared" si="89"/>
        <v>0.99325953336736394</v>
      </c>
      <c r="G130" s="7">
        <f t="shared" si="89"/>
        <v>1.0044</v>
      </c>
      <c r="H130" s="7">
        <f t="shared" si="89"/>
        <v>0.99780875352825904</v>
      </c>
      <c r="I130" s="13">
        <f t="shared" ref="I130" si="176">1+E130</f>
        <v>0.93431609432484997</v>
      </c>
      <c r="J130" s="31">
        <f t="shared" si="112"/>
        <v>2.7538308723672471</v>
      </c>
      <c r="K130" s="7">
        <f>MAX($J$2:J130)</f>
        <v>2.772518943796257</v>
      </c>
      <c r="L130" s="13">
        <f t="shared" si="90"/>
        <v>-6.7404666326359927E-3</v>
      </c>
      <c r="M130" s="12">
        <f t="shared" si="113"/>
        <v>9.0579883075945933</v>
      </c>
      <c r="N130" s="7">
        <f>MAX($M$2:M130)</f>
        <v>9.1556124160798209</v>
      </c>
      <c r="O130" s="39">
        <f t="shared" si="91"/>
        <v>-1.0662761162079374E-2</v>
      </c>
      <c r="P130" s="31" t="str">
        <f t="shared" si="92"/>
        <v xml:space="preserve"> </v>
      </c>
      <c r="Q130" s="13">
        <f t="shared" si="93"/>
        <v>-6.74046663263605E-3</v>
      </c>
      <c r="R130" s="31" t="str">
        <f t="shared" si="94"/>
        <v xml:space="preserve"> </v>
      </c>
      <c r="S130" s="39">
        <f t="shared" si="95"/>
        <v>-2.1912464717409501E-3</v>
      </c>
      <c r="T130" s="31">
        <f t="shared" si="96"/>
        <v>-1.1140466632636001E-2</v>
      </c>
      <c r="U130" s="39">
        <f t="shared" si="97"/>
        <v>-6.5912464717409001E-3</v>
      </c>
      <c r="V130" s="17">
        <f t="shared" si="98"/>
        <v>-7.0083905675149952E-2</v>
      </c>
      <c r="W130" s="31">
        <f t="shared" si="99"/>
        <v>-1.1140466632636001E-2</v>
      </c>
      <c r="X130" s="39">
        <f t="shared" si="100"/>
        <v>1.2410999679287612E-4</v>
      </c>
      <c r="Y130" s="16">
        <f t="shared" si="101"/>
        <v>-6.5912464717409001E-3</v>
      </c>
      <c r="Z130" s="39">
        <f t="shared" si="100"/>
        <v>4.3444530051236863E-5</v>
      </c>
      <c r="AA130" s="16">
        <f t="shared" si="102"/>
        <v>-7.0083905675149952E-2</v>
      </c>
      <c r="AB130" s="13">
        <f t="shared" ref="AB130" si="177">AA130^2</f>
        <v>4.911753834683316E-3</v>
      </c>
      <c r="AC130" s="33">
        <f t="shared" si="104"/>
        <v>-6.74046663263605E-3</v>
      </c>
      <c r="AD130" s="39">
        <f t="shared" si="105"/>
        <v>4.543389042567997E-5</v>
      </c>
      <c r="AE130" s="16">
        <f t="shared" si="106"/>
        <v>-2.1912464717409501E-3</v>
      </c>
      <c r="AF130" s="39">
        <f t="shared" si="107"/>
        <v>4.8015610999171625E-6</v>
      </c>
      <c r="AG130" s="16">
        <f t="shared" si="108"/>
        <v>-6.5683905675150006E-2</v>
      </c>
      <c r="AH130" s="39">
        <f t="shared" si="109"/>
        <v>4.3143754647420032E-3</v>
      </c>
      <c r="AI130" s="31">
        <f t="shared" si="110"/>
        <v>-4.5492201608950955E-3</v>
      </c>
      <c r="AJ130" s="13">
        <f t="shared" si="111"/>
        <v>-6.3492659203409074E-2</v>
      </c>
    </row>
    <row r="131" spans="1:36" x14ac:dyDescent="0.25">
      <c r="A131" s="29">
        <v>44470</v>
      </c>
      <c r="B131" s="12">
        <v>5.0720077686763697E-2</v>
      </c>
      <c r="C131" s="7">
        <v>4.8999999999999001E-3</v>
      </c>
      <c r="D131" s="7">
        <v>9.8371253033431305E-2</v>
      </c>
      <c r="E131" s="13">
        <v>-6.73821173375143E-2</v>
      </c>
      <c r="F131" s="31">
        <f t="shared" ref="F131:I182" si="178">1+B131</f>
        <v>1.0507200776867638</v>
      </c>
      <c r="G131" s="7">
        <f t="shared" si="178"/>
        <v>1.0048999999999999</v>
      </c>
      <c r="H131" s="7">
        <f t="shared" si="178"/>
        <v>1.0983712530334313</v>
      </c>
      <c r="I131" s="13">
        <f t="shared" si="178"/>
        <v>0.93261788266248569</v>
      </c>
      <c r="J131" s="31">
        <f t="shared" si="112"/>
        <v>2.8935053881499222</v>
      </c>
      <c r="K131" s="7">
        <f>MAX($J$2:J131)</f>
        <v>2.8935053881499222</v>
      </c>
      <c r="L131" s="13">
        <f t="shared" ref="L131:L182" si="179">(J131-K131)/K131</f>
        <v>0</v>
      </c>
      <c r="M131" s="12">
        <f t="shared" si="113"/>
        <v>9.9490339673748434</v>
      </c>
      <c r="N131" s="7">
        <f>MAX($M$2:M131)</f>
        <v>9.9490339673748434</v>
      </c>
      <c r="O131" s="39">
        <f t="shared" ref="O131:O182" si="180">(M131-N131)/N131</f>
        <v>0</v>
      </c>
      <c r="P131" s="31">
        <f t="shared" ref="P131:P182" si="181">IF(B131&gt;0,B131," ")</f>
        <v>5.0720077686763697E-2</v>
      </c>
      <c r="Q131" s="13" t="str">
        <f t="shared" ref="Q131:Q182" si="182">IF(B131&lt;0,B131," ")</f>
        <v xml:space="preserve"> </v>
      </c>
      <c r="R131" s="31">
        <f t="shared" ref="R131:R182" si="183">IF(D131&gt;0,D131," ")</f>
        <v>9.8371253033431305E-2</v>
      </c>
      <c r="S131" s="39" t="str">
        <f t="shared" ref="S131:S182" si="184">IF(D131&lt;0,D131," ")</f>
        <v xml:space="preserve"> </v>
      </c>
      <c r="T131" s="31">
        <f t="shared" ref="T131:T182" si="185">B131-C131</f>
        <v>4.5820077686763799E-2</v>
      </c>
      <c r="U131" s="39">
        <f t="shared" ref="U131:U182" si="186">D131-C131</f>
        <v>9.3471253033431401E-2</v>
      </c>
      <c r="V131" s="17">
        <f t="shared" ref="V131:V182" si="187">E131-C131</f>
        <v>-7.2282117337514204E-2</v>
      </c>
      <c r="W131" s="31">
        <f t="shared" ref="W131:W182" si="188">IF(T131&lt;0,T131,0)</f>
        <v>0</v>
      </c>
      <c r="X131" s="39">
        <f t="shared" ref="X131:Z182" si="189">W131^2</f>
        <v>0</v>
      </c>
      <c r="Y131" s="16">
        <f t="shared" ref="Y131:Y182" si="190">IF(U131&lt;0,U131,0)</f>
        <v>0</v>
      </c>
      <c r="Z131" s="39">
        <f t="shared" si="189"/>
        <v>0</v>
      </c>
      <c r="AA131" s="16">
        <f t="shared" ref="AA131:AA182" si="191">IF(V131&lt;0,V131,0)</f>
        <v>-7.2282117337514204E-2</v>
      </c>
      <c r="AB131" s="13">
        <f t="shared" ref="AB131" si="192">AA131^2</f>
        <v>5.2247044867941711E-3</v>
      </c>
      <c r="AC131" s="33">
        <f t="shared" ref="AC131:AC182" si="193">IF(B131&lt;0,B131,0)</f>
        <v>0</v>
      </c>
      <c r="AD131" s="39">
        <f t="shared" ref="AD131:AD182" si="194">AC131^2</f>
        <v>0</v>
      </c>
      <c r="AE131" s="16">
        <f t="shared" ref="AE131:AE182" si="195">IF(D131&lt;0,D131,0)</f>
        <v>0</v>
      </c>
      <c r="AF131" s="39">
        <f t="shared" ref="AF131:AF182" si="196">AE131^2</f>
        <v>0</v>
      </c>
      <c r="AG131" s="16">
        <f t="shared" ref="AG131:AG182" si="197">IF(E131&lt;0,E131,0)</f>
        <v>-6.73821173375143E-2</v>
      </c>
      <c r="AH131" s="39">
        <f t="shared" ref="AH131:AH182" si="198">AG131^2</f>
        <v>4.5403497368865448E-3</v>
      </c>
      <c r="AI131" s="31">
        <f t="shared" ref="AI131:AI182" si="199">F131-$H131</f>
        <v>-4.7651175346667518E-2</v>
      </c>
      <c r="AJ131" s="13">
        <f t="shared" ref="AJ131:AJ182" si="200">I131-$H131</f>
        <v>-0.16575337037094562</v>
      </c>
    </row>
    <row r="132" spans="1:36" x14ac:dyDescent="0.25">
      <c r="A132" s="29">
        <v>44501</v>
      </c>
      <c r="B132" s="12">
        <v>-2.1330952244587201E-2</v>
      </c>
      <c r="C132" s="7">
        <v>5.9000000000000103E-3</v>
      </c>
      <c r="D132" s="7">
        <v>-3.1855305061568397E-2</v>
      </c>
      <c r="E132" s="13">
        <v>-1.5323523444217901E-2</v>
      </c>
      <c r="F132" s="31">
        <f t="shared" si="178"/>
        <v>0.97866904775541275</v>
      </c>
      <c r="G132" s="7">
        <f t="shared" si="178"/>
        <v>1.0059</v>
      </c>
      <c r="H132" s="7">
        <f t="shared" si="178"/>
        <v>0.96814469493843158</v>
      </c>
      <c r="I132" s="13">
        <f t="shared" si="178"/>
        <v>0.98467647655578205</v>
      </c>
      <c r="J132" s="31">
        <f t="shared" ref="J132:J182" si="201">J131*(1+B132)</f>
        <v>2.8317841628958402</v>
      </c>
      <c r="K132" s="7">
        <f>MAX($J$2:J132)</f>
        <v>2.8935053881499222</v>
      </c>
      <c r="L132" s="13">
        <f t="shared" si="179"/>
        <v>-2.1330952244587278E-2</v>
      </c>
      <c r="M132" s="12">
        <f t="shared" ref="M132:M182" si="202">M131*(1+D132)</f>
        <v>9.6321044552762114</v>
      </c>
      <c r="N132" s="7">
        <f>MAX($M$2:M132)</f>
        <v>9.9490339673748434</v>
      </c>
      <c r="O132" s="39">
        <f t="shared" si="180"/>
        <v>-3.1855305061568417E-2</v>
      </c>
      <c r="P132" s="31" t="str">
        <f t="shared" si="181"/>
        <v xml:space="preserve"> </v>
      </c>
      <c r="Q132" s="13">
        <f t="shared" si="182"/>
        <v>-2.1330952244587201E-2</v>
      </c>
      <c r="R132" s="31" t="str">
        <f t="shared" si="183"/>
        <v xml:space="preserve"> </v>
      </c>
      <c r="S132" s="39">
        <f t="shared" si="184"/>
        <v>-3.1855305061568397E-2</v>
      </c>
      <c r="T132" s="31">
        <f t="shared" si="185"/>
        <v>-2.7230952244587211E-2</v>
      </c>
      <c r="U132" s="39">
        <f t="shared" si="186"/>
        <v>-3.7755305061568406E-2</v>
      </c>
      <c r="V132" s="17">
        <f t="shared" si="187"/>
        <v>-2.122352344421791E-2</v>
      </c>
      <c r="W132" s="31">
        <f t="shared" si="188"/>
        <v>-2.7230952244587211E-2</v>
      </c>
      <c r="X132" s="39">
        <f t="shared" si="189"/>
        <v>7.4152476014698921E-4</v>
      </c>
      <c r="Y132" s="16">
        <f t="shared" si="190"/>
        <v>-3.7755305061568406E-2</v>
      </c>
      <c r="Z132" s="39">
        <f t="shared" si="189"/>
        <v>1.4254630602920928E-3</v>
      </c>
      <c r="AA132" s="16">
        <f t="shared" si="191"/>
        <v>-2.122352344421791E-2</v>
      </c>
      <c r="AB132" s="13">
        <f t="shared" ref="AB132" si="203">AA132^2</f>
        <v>4.5043794738726725E-4</v>
      </c>
      <c r="AC132" s="33">
        <f t="shared" si="193"/>
        <v>-2.1330952244587201E-2</v>
      </c>
      <c r="AD132" s="39">
        <f t="shared" si="194"/>
        <v>4.5500952366085977E-4</v>
      </c>
      <c r="AE132" s="16">
        <f t="shared" si="195"/>
        <v>-3.1855305061568397E-2</v>
      </c>
      <c r="AF132" s="39">
        <f t="shared" si="196"/>
        <v>1.0147604605655852E-3</v>
      </c>
      <c r="AG132" s="16">
        <f t="shared" si="197"/>
        <v>-1.5323523444217901E-2</v>
      </c>
      <c r="AH132" s="39">
        <f t="shared" si="198"/>
        <v>2.3481037074549562E-4</v>
      </c>
      <c r="AI132" s="31">
        <f t="shared" si="199"/>
        <v>1.0524352816981164E-2</v>
      </c>
      <c r="AJ132" s="13">
        <f t="shared" si="200"/>
        <v>1.6531781617350472E-2</v>
      </c>
    </row>
    <row r="133" spans="1:36" x14ac:dyDescent="0.25">
      <c r="A133" s="29">
        <v>44531</v>
      </c>
      <c r="B133" s="12">
        <v>3.1178559424731501E-2</v>
      </c>
      <c r="C133" s="7">
        <v>7.7000000000000401E-3</v>
      </c>
      <c r="D133" s="7">
        <v>2.4695053322201201E-2</v>
      </c>
      <c r="E133" s="13">
        <v>2.8523769808173501E-2</v>
      </c>
      <c r="F133" s="31">
        <f t="shared" si="178"/>
        <v>1.0311785594247316</v>
      </c>
      <c r="G133" s="7">
        <f t="shared" si="178"/>
        <v>1.0077</v>
      </c>
      <c r="H133" s="7">
        <f t="shared" si="178"/>
        <v>1.0246950533222012</v>
      </c>
      <c r="I133" s="13">
        <f t="shared" si="178"/>
        <v>1.0285237698081735</v>
      </c>
      <c r="J133" s="31">
        <f t="shared" si="201"/>
        <v>2.920075113696702</v>
      </c>
      <c r="K133" s="7">
        <f>MAX($J$2:J133)</f>
        <v>2.920075113696702</v>
      </c>
      <c r="L133" s="13">
        <f t="shared" si="179"/>
        <v>0</v>
      </c>
      <c r="M133" s="12">
        <f t="shared" si="202"/>
        <v>9.8699697884042692</v>
      </c>
      <c r="N133" s="7">
        <f>MAX($M$2:M133)</f>
        <v>9.9490339673748434</v>
      </c>
      <c r="O133" s="39">
        <f t="shared" si="180"/>
        <v>-7.9469201964576346E-3</v>
      </c>
      <c r="P133" s="31">
        <f t="shared" si="181"/>
        <v>3.1178559424731501E-2</v>
      </c>
      <c r="Q133" s="13" t="str">
        <f t="shared" si="182"/>
        <v xml:space="preserve"> </v>
      </c>
      <c r="R133" s="31">
        <f t="shared" si="183"/>
        <v>2.4695053322201201E-2</v>
      </c>
      <c r="S133" s="39" t="str">
        <f t="shared" si="184"/>
        <v xml:space="preserve"> </v>
      </c>
      <c r="T133" s="31">
        <f t="shared" si="185"/>
        <v>2.3478559424731461E-2</v>
      </c>
      <c r="U133" s="39">
        <f t="shared" si="186"/>
        <v>1.6995053322201161E-2</v>
      </c>
      <c r="V133" s="17">
        <f t="shared" si="187"/>
        <v>2.0823769808173461E-2</v>
      </c>
      <c r="W133" s="31">
        <f t="shared" si="188"/>
        <v>0</v>
      </c>
      <c r="X133" s="39">
        <f t="shared" si="189"/>
        <v>0</v>
      </c>
      <c r="Y133" s="16">
        <f t="shared" si="190"/>
        <v>0</v>
      </c>
      <c r="Z133" s="39">
        <f t="shared" si="189"/>
        <v>0</v>
      </c>
      <c r="AA133" s="16">
        <f t="shared" si="191"/>
        <v>0</v>
      </c>
      <c r="AB133" s="13">
        <f t="shared" ref="AB133" si="204">AA133^2</f>
        <v>0</v>
      </c>
      <c r="AC133" s="33">
        <f t="shared" si="193"/>
        <v>0</v>
      </c>
      <c r="AD133" s="39">
        <f t="shared" si="194"/>
        <v>0</v>
      </c>
      <c r="AE133" s="16">
        <f t="shared" si="195"/>
        <v>0</v>
      </c>
      <c r="AF133" s="39">
        <f t="shared" si="196"/>
        <v>0</v>
      </c>
      <c r="AG133" s="16">
        <f t="shared" si="197"/>
        <v>0</v>
      </c>
      <c r="AH133" s="39">
        <f t="shared" si="198"/>
        <v>0</v>
      </c>
      <c r="AI133" s="31">
        <f t="shared" si="199"/>
        <v>6.4835061025303453E-3</v>
      </c>
      <c r="AJ133" s="13">
        <f t="shared" si="200"/>
        <v>3.8287164859722722E-3</v>
      </c>
    </row>
    <row r="134" spans="1:36" x14ac:dyDescent="0.25">
      <c r="A134" s="29">
        <v>44562</v>
      </c>
      <c r="B134" s="12">
        <v>-6.3689308112705706E-2</v>
      </c>
      <c r="C134" s="7">
        <v>7.3000000000000799E-3</v>
      </c>
      <c r="D134" s="7">
        <v>-7.4447128255034703E-2</v>
      </c>
      <c r="E134" s="13">
        <v>7.2179504302531894E-2</v>
      </c>
      <c r="F134" s="31">
        <f t="shared" si="178"/>
        <v>0.93631069188729432</v>
      </c>
      <c r="G134" s="7">
        <f t="shared" si="178"/>
        <v>1.0073000000000001</v>
      </c>
      <c r="H134" s="7">
        <f t="shared" si="178"/>
        <v>0.92555287174496526</v>
      </c>
      <c r="I134" s="13">
        <f t="shared" si="178"/>
        <v>1.0721795043025319</v>
      </c>
      <c r="J134" s="31">
        <f t="shared" si="201"/>
        <v>2.7340975500682285</v>
      </c>
      <c r="K134" s="7">
        <f>MAX($J$2:J134)</f>
        <v>2.920075113696702</v>
      </c>
      <c r="L134" s="13">
        <f t="shared" si="179"/>
        <v>-6.3689308112705748E-2</v>
      </c>
      <c r="M134" s="12">
        <f t="shared" si="202"/>
        <v>9.1351788816936192</v>
      </c>
      <c r="N134" s="7">
        <f>MAX($M$2:M134)</f>
        <v>9.9490339673748434</v>
      </c>
      <c r="O134" s="39">
        <f t="shared" si="180"/>
        <v>-8.1802423064394086E-2</v>
      </c>
      <c r="P134" s="31" t="str">
        <f t="shared" si="181"/>
        <v xml:space="preserve"> </v>
      </c>
      <c r="Q134" s="13">
        <f t="shared" si="182"/>
        <v>-6.3689308112705706E-2</v>
      </c>
      <c r="R134" s="31" t="str">
        <f t="shared" si="183"/>
        <v xml:space="preserve"> </v>
      </c>
      <c r="S134" s="39">
        <f t="shared" si="184"/>
        <v>-7.4447128255034703E-2</v>
      </c>
      <c r="T134" s="31">
        <f t="shared" si="185"/>
        <v>-7.098930811270579E-2</v>
      </c>
      <c r="U134" s="39">
        <f t="shared" si="186"/>
        <v>-8.1747128255034787E-2</v>
      </c>
      <c r="V134" s="17">
        <f t="shared" si="187"/>
        <v>6.487950430253181E-2</v>
      </c>
      <c r="W134" s="31">
        <f t="shared" si="188"/>
        <v>-7.098930811270579E-2</v>
      </c>
      <c r="X134" s="39">
        <f t="shared" si="189"/>
        <v>5.039481866320676E-3</v>
      </c>
      <c r="Y134" s="16">
        <f t="shared" si="190"/>
        <v>-8.1747128255034787E-2</v>
      </c>
      <c r="Z134" s="39">
        <f t="shared" si="189"/>
        <v>6.6825929779451071E-3</v>
      </c>
      <c r="AA134" s="16">
        <f t="shared" si="191"/>
        <v>0</v>
      </c>
      <c r="AB134" s="13">
        <f t="shared" ref="AB134" si="205">AA134^2</f>
        <v>0</v>
      </c>
      <c r="AC134" s="33">
        <f t="shared" si="193"/>
        <v>-6.3689308112705706E-2</v>
      </c>
      <c r="AD134" s="39">
        <f t="shared" si="194"/>
        <v>4.0563279678751604E-3</v>
      </c>
      <c r="AE134" s="16">
        <f t="shared" si="195"/>
        <v>-7.4447128255034703E-2</v>
      </c>
      <c r="AF134" s="39">
        <f t="shared" si="196"/>
        <v>5.5423749054215867E-3</v>
      </c>
      <c r="AG134" s="16">
        <f t="shared" si="197"/>
        <v>0</v>
      </c>
      <c r="AH134" s="39">
        <f t="shared" si="198"/>
        <v>0</v>
      </c>
      <c r="AI134" s="31">
        <f t="shared" si="199"/>
        <v>1.0757820142329066E-2</v>
      </c>
      <c r="AJ134" s="13">
        <f t="shared" si="200"/>
        <v>0.14662663255756669</v>
      </c>
    </row>
    <row r="135" spans="1:36" x14ac:dyDescent="0.25">
      <c r="A135" s="29">
        <v>44593</v>
      </c>
      <c r="B135" s="12">
        <v>-3.1030334317594499E-2</v>
      </c>
      <c r="C135" s="7">
        <v>7.6000000000000503E-3</v>
      </c>
      <c r="D135" s="7">
        <v>-6.4546847579265404E-2</v>
      </c>
      <c r="E135" s="13">
        <v>6.7089013061891701E-3</v>
      </c>
      <c r="F135" s="31">
        <f t="shared" si="178"/>
        <v>0.9689696656824055</v>
      </c>
      <c r="G135" s="7">
        <f t="shared" si="178"/>
        <v>1.0076000000000001</v>
      </c>
      <c r="H135" s="7">
        <f t="shared" si="178"/>
        <v>0.93545315242073457</v>
      </c>
      <c r="I135" s="13">
        <f t="shared" si="178"/>
        <v>1.0067089013061892</v>
      </c>
      <c r="J135" s="31">
        <f t="shared" si="201"/>
        <v>2.6492575890326955</v>
      </c>
      <c r="K135" s="7">
        <f>MAX($J$2:J135)</f>
        <v>2.920075113696702</v>
      </c>
      <c r="L135" s="13">
        <f t="shared" si="179"/>
        <v>-9.2743341907106647E-2</v>
      </c>
      <c r="M135" s="12">
        <f t="shared" si="202"/>
        <v>8.5455318828076159</v>
      </c>
      <c r="N135" s="7">
        <f>MAX($M$2:M135)</f>
        <v>9.9490339673748434</v>
      </c>
      <c r="O135" s="39">
        <f t="shared" si="180"/>
        <v>-0.14106918211050756</v>
      </c>
      <c r="P135" s="31" t="str">
        <f t="shared" si="181"/>
        <v xml:space="preserve"> </v>
      </c>
      <c r="Q135" s="13">
        <f t="shared" si="182"/>
        <v>-3.1030334317594499E-2</v>
      </c>
      <c r="R135" s="31" t="str">
        <f t="shared" si="183"/>
        <v xml:space="preserve"> </v>
      </c>
      <c r="S135" s="39">
        <f t="shared" si="184"/>
        <v>-6.4546847579265404E-2</v>
      </c>
      <c r="T135" s="31">
        <f t="shared" si="185"/>
        <v>-3.863033431759455E-2</v>
      </c>
      <c r="U135" s="39">
        <f t="shared" si="186"/>
        <v>-7.2146847579265455E-2</v>
      </c>
      <c r="V135" s="17">
        <f t="shared" si="187"/>
        <v>-8.9109869381088017E-4</v>
      </c>
      <c r="W135" s="31">
        <f t="shared" si="188"/>
        <v>-3.863033431759455E-2</v>
      </c>
      <c r="X135" s="39">
        <f t="shared" si="189"/>
        <v>1.4923027294891232E-3</v>
      </c>
      <c r="Y135" s="16">
        <f t="shared" si="190"/>
        <v>-7.2146847579265455E-2</v>
      </c>
      <c r="Z135" s="39">
        <f t="shared" si="189"/>
        <v>5.2051676156257614E-3</v>
      </c>
      <c r="AA135" s="16">
        <f t="shared" si="191"/>
        <v>-8.9109869381088017E-4</v>
      </c>
      <c r="AB135" s="13">
        <f t="shared" ref="AB135" si="206">AA135^2</f>
        <v>7.9405688211145675E-7</v>
      </c>
      <c r="AC135" s="33">
        <f t="shared" si="193"/>
        <v>-3.1030334317594499E-2</v>
      </c>
      <c r="AD135" s="39">
        <f t="shared" si="194"/>
        <v>9.6288164786168288E-4</v>
      </c>
      <c r="AE135" s="16">
        <f t="shared" si="195"/>
        <v>-6.4546847579265404E-2</v>
      </c>
      <c r="AF135" s="39">
        <f t="shared" si="196"/>
        <v>4.1662955324209203E-3</v>
      </c>
      <c r="AG135" s="16">
        <f t="shared" si="197"/>
        <v>0</v>
      </c>
      <c r="AH135" s="39">
        <f t="shared" si="198"/>
        <v>0</v>
      </c>
      <c r="AI135" s="31">
        <f t="shared" si="199"/>
        <v>3.3516513261670933E-2</v>
      </c>
      <c r="AJ135" s="13">
        <f t="shared" si="200"/>
        <v>7.1255748885454606E-2</v>
      </c>
    </row>
    <row r="136" spans="1:36" x14ac:dyDescent="0.25">
      <c r="A136" s="29">
        <v>44621</v>
      </c>
      <c r="B136" s="12">
        <v>-2.0289630408269099E-2</v>
      </c>
      <c r="C136" s="7">
        <v>9.3000000000000808E-3</v>
      </c>
      <c r="D136" s="7">
        <v>-6.0506095715181799E-2</v>
      </c>
      <c r="E136" s="13">
        <v>6.0605257110533703E-2</v>
      </c>
      <c r="F136" s="31">
        <f t="shared" si="178"/>
        <v>0.97971036959173086</v>
      </c>
      <c r="G136" s="7">
        <f t="shared" si="178"/>
        <v>1.0093000000000001</v>
      </c>
      <c r="H136" s="7">
        <f t="shared" si="178"/>
        <v>0.93949390428481816</v>
      </c>
      <c r="I136" s="13">
        <f t="shared" si="178"/>
        <v>1.0606052571105338</v>
      </c>
      <c r="J136" s="31">
        <f t="shared" si="201"/>
        <v>2.59550513169492</v>
      </c>
      <c r="K136" s="7">
        <f>MAX($J$2:J136)</f>
        <v>2.920075113696702</v>
      </c>
      <c r="L136" s="13">
        <f t="shared" si="179"/>
        <v>-0.11115124418525281</v>
      </c>
      <c r="M136" s="12">
        <f t="shared" si="202"/>
        <v>8.0284751127693195</v>
      </c>
      <c r="N136" s="7">
        <f>MAX($M$2:M136)</f>
        <v>9.9490339673748434</v>
      </c>
      <c r="O136" s="39">
        <f t="shared" si="180"/>
        <v>-0.19303973239044869</v>
      </c>
      <c r="P136" s="31" t="str">
        <f t="shared" si="181"/>
        <v xml:space="preserve"> </v>
      </c>
      <c r="Q136" s="13">
        <f t="shared" si="182"/>
        <v>-2.0289630408269099E-2</v>
      </c>
      <c r="R136" s="31" t="str">
        <f t="shared" si="183"/>
        <v xml:space="preserve"> </v>
      </c>
      <c r="S136" s="39">
        <f t="shared" si="184"/>
        <v>-6.0506095715181799E-2</v>
      </c>
      <c r="T136" s="31">
        <f t="shared" si="185"/>
        <v>-2.9589630408269181E-2</v>
      </c>
      <c r="U136" s="39">
        <f t="shared" si="186"/>
        <v>-6.9806095715181884E-2</v>
      </c>
      <c r="V136" s="17">
        <f t="shared" si="187"/>
        <v>5.1305257110533624E-2</v>
      </c>
      <c r="W136" s="31">
        <f t="shared" si="188"/>
        <v>-2.9589630408269181E-2</v>
      </c>
      <c r="X136" s="39">
        <f t="shared" si="189"/>
        <v>8.7554622769796817E-4</v>
      </c>
      <c r="Y136" s="16">
        <f t="shared" si="190"/>
        <v>-6.9806095715181884E-2</v>
      </c>
      <c r="Z136" s="39">
        <f t="shared" si="189"/>
        <v>4.8728909989971345E-3</v>
      </c>
      <c r="AA136" s="16">
        <f t="shared" si="191"/>
        <v>0</v>
      </c>
      <c r="AB136" s="13">
        <f t="shared" ref="AB136" si="207">AA136^2</f>
        <v>0</v>
      </c>
      <c r="AC136" s="33">
        <f t="shared" si="193"/>
        <v>-2.0289630408269099E-2</v>
      </c>
      <c r="AD136" s="39">
        <f t="shared" si="194"/>
        <v>4.1166910210415806E-4</v>
      </c>
      <c r="AE136" s="16">
        <f t="shared" si="195"/>
        <v>-6.0506095715181799E-2</v>
      </c>
      <c r="AF136" s="39">
        <f t="shared" si="196"/>
        <v>3.6609876186947414E-3</v>
      </c>
      <c r="AG136" s="16">
        <f t="shared" si="197"/>
        <v>0</v>
      </c>
      <c r="AH136" s="39">
        <f t="shared" si="198"/>
        <v>0</v>
      </c>
      <c r="AI136" s="31">
        <f t="shared" si="199"/>
        <v>4.0216465306912696E-2</v>
      </c>
      <c r="AJ136" s="13">
        <f t="shared" si="200"/>
        <v>0.12111135282571561</v>
      </c>
    </row>
    <row r="137" spans="1:36" x14ac:dyDescent="0.25">
      <c r="A137" s="29">
        <v>44652</v>
      </c>
      <c r="B137" s="12">
        <v>-4.4148350563679599E-2</v>
      </c>
      <c r="C137" s="7">
        <v>8.2999999999999706E-3</v>
      </c>
      <c r="D137" s="7">
        <v>-3.9852331574155103E-2</v>
      </c>
      <c r="E137" s="13">
        <v>-0.10102584188201499</v>
      </c>
      <c r="F137" s="31">
        <f t="shared" si="178"/>
        <v>0.95585164943632039</v>
      </c>
      <c r="G137" s="7">
        <f t="shared" si="178"/>
        <v>1.0083</v>
      </c>
      <c r="H137" s="7">
        <f t="shared" si="178"/>
        <v>0.96014766842584487</v>
      </c>
      <c r="I137" s="13">
        <f t="shared" si="178"/>
        <v>0.89897415811798498</v>
      </c>
      <c r="J137" s="31">
        <f t="shared" si="201"/>
        <v>2.4809178612510232</v>
      </c>
      <c r="K137" s="7">
        <f>MAX($J$2:J137)</f>
        <v>2.920075113696702</v>
      </c>
      <c r="L137" s="13">
        <f t="shared" si="179"/>
        <v>-0.15039245065505275</v>
      </c>
      <c r="M137" s="12">
        <f t="shared" si="202"/>
        <v>7.7085216605403843</v>
      </c>
      <c r="N137" s="7">
        <f>MAX($M$2:M137)</f>
        <v>9.9490339673748434</v>
      </c>
      <c r="O137" s="39">
        <f t="shared" si="180"/>
        <v>-0.22519898054239346</v>
      </c>
      <c r="P137" s="31" t="str">
        <f t="shared" si="181"/>
        <v xml:space="preserve"> </v>
      </c>
      <c r="Q137" s="13">
        <f t="shared" si="182"/>
        <v>-4.4148350563679599E-2</v>
      </c>
      <c r="R137" s="31" t="str">
        <f t="shared" si="183"/>
        <v xml:space="preserve"> </v>
      </c>
      <c r="S137" s="39">
        <f t="shared" si="184"/>
        <v>-3.9852331574155103E-2</v>
      </c>
      <c r="T137" s="31">
        <f t="shared" si="185"/>
        <v>-5.2448350563679566E-2</v>
      </c>
      <c r="U137" s="39">
        <f t="shared" si="186"/>
        <v>-4.8152331574155077E-2</v>
      </c>
      <c r="V137" s="17">
        <f t="shared" si="187"/>
        <v>-0.10932584188201497</v>
      </c>
      <c r="W137" s="31">
        <f t="shared" si="188"/>
        <v>-5.2448350563679566E-2</v>
      </c>
      <c r="X137" s="39">
        <f t="shared" si="189"/>
        <v>2.7508294768506265E-3</v>
      </c>
      <c r="Y137" s="16">
        <f t="shared" si="190"/>
        <v>-4.8152331574155077E-2</v>
      </c>
      <c r="Z137" s="39">
        <f t="shared" si="189"/>
        <v>2.3186470360273721E-3</v>
      </c>
      <c r="AA137" s="16">
        <f t="shared" si="191"/>
        <v>-0.10932584188201497</v>
      </c>
      <c r="AB137" s="13">
        <f t="shared" ref="AB137" si="208">AA137^2</f>
        <v>1.1952139703211339E-2</v>
      </c>
      <c r="AC137" s="33">
        <f t="shared" si="193"/>
        <v>-4.4148350563679599E-2</v>
      </c>
      <c r="AD137" s="39">
        <f t="shared" si="194"/>
        <v>1.9490768574935487E-3</v>
      </c>
      <c r="AE137" s="16">
        <f t="shared" si="195"/>
        <v>-3.9852331574155103E-2</v>
      </c>
      <c r="AF137" s="39">
        <f t="shared" si="196"/>
        <v>1.5882083318963997E-3</v>
      </c>
      <c r="AG137" s="16">
        <f t="shared" si="197"/>
        <v>-0.10102584188201499</v>
      </c>
      <c r="AH137" s="39">
        <f t="shared" si="198"/>
        <v>1.0206220727969895E-2</v>
      </c>
      <c r="AI137" s="31">
        <f t="shared" si="199"/>
        <v>-4.2960189895244749E-3</v>
      </c>
      <c r="AJ137" s="13">
        <f t="shared" si="200"/>
        <v>-6.1173510307859891E-2</v>
      </c>
    </row>
    <row r="138" spans="1:36" x14ac:dyDescent="0.25">
      <c r="A138" s="29">
        <v>44682</v>
      </c>
      <c r="B138" s="12">
        <v>-3.9135413392662403E-2</v>
      </c>
      <c r="C138" s="7">
        <v>1.02999999999999E-2</v>
      </c>
      <c r="D138" s="7">
        <v>-3.91157043415346E-2</v>
      </c>
      <c r="E138" s="13">
        <v>3.2212911120174902E-2</v>
      </c>
      <c r="F138" s="31">
        <f t="shared" si="178"/>
        <v>0.96086458660733765</v>
      </c>
      <c r="G138" s="7">
        <f t="shared" si="178"/>
        <v>1.0103</v>
      </c>
      <c r="H138" s="7">
        <f t="shared" si="178"/>
        <v>0.96088429565846545</v>
      </c>
      <c r="I138" s="13">
        <f t="shared" si="178"/>
        <v>1.032212911120175</v>
      </c>
      <c r="J138" s="31">
        <f t="shared" si="201"/>
        <v>2.3838261151577247</v>
      </c>
      <c r="K138" s="7">
        <f>MAX($J$2:J138)</f>
        <v>2.920075113696702</v>
      </c>
      <c r="L138" s="13">
        <f t="shared" si="179"/>
        <v>-0.18364219332019405</v>
      </c>
      <c r="M138" s="12">
        <f t="shared" si="202"/>
        <v>7.4069974063563713</v>
      </c>
      <c r="N138" s="7">
        <f>MAX($M$2:M138)</f>
        <v>9.9490339673748434</v>
      </c>
      <c r="O138" s="39">
        <f t="shared" si="180"/>
        <v>-0.25550586814301679</v>
      </c>
      <c r="P138" s="31" t="str">
        <f t="shared" si="181"/>
        <v xml:space="preserve"> </v>
      </c>
      <c r="Q138" s="13">
        <f t="shared" si="182"/>
        <v>-3.9135413392662403E-2</v>
      </c>
      <c r="R138" s="31" t="str">
        <f t="shared" si="183"/>
        <v xml:space="preserve"> </v>
      </c>
      <c r="S138" s="39">
        <f t="shared" si="184"/>
        <v>-3.91157043415346E-2</v>
      </c>
      <c r="T138" s="31">
        <f t="shared" si="185"/>
        <v>-4.9435413392662303E-2</v>
      </c>
      <c r="U138" s="39">
        <f t="shared" si="186"/>
        <v>-4.94157043415345E-2</v>
      </c>
      <c r="V138" s="17">
        <f t="shared" si="187"/>
        <v>2.1912911120175002E-2</v>
      </c>
      <c r="W138" s="31">
        <f t="shared" si="188"/>
        <v>-4.9435413392662303E-2</v>
      </c>
      <c r="X138" s="39">
        <f t="shared" si="189"/>
        <v>2.4438600973034153E-3</v>
      </c>
      <c r="Y138" s="16">
        <f t="shared" si="190"/>
        <v>-4.94157043415345E-2</v>
      </c>
      <c r="Z138" s="39">
        <f t="shared" si="189"/>
        <v>2.4419118355699515E-3</v>
      </c>
      <c r="AA138" s="16">
        <f t="shared" si="191"/>
        <v>0</v>
      </c>
      <c r="AB138" s="13">
        <f t="shared" ref="AB138" si="209">AA138^2</f>
        <v>0</v>
      </c>
      <c r="AC138" s="33">
        <f t="shared" si="193"/>
        <v>-3.9135413392662403E-2</v>
      </c>
      <c r="AD138" s="39">
        <f t="shared" si="194"/>
        <v>1.5315805814145797E-3</v>
      </c>
      <c r="AE138" s="16">
        <f t="shared" si="195"/>
        <v>-3.91157043415346E-2</v>
      </c>
      <c r="AF138" s="39">
        <f t="shared" si="196"/>
        <v>1.5300383261343488E-3</v>
      </c>
      <c r="AG138" s="16">
        <f t="shared" si="197"/>
        <v>0</v>
      </c>
      <c r="AH138" s="39">
        <f t="shared" si="198"/>
        <v>0</v>
      </c>
      <c r="AI138" s="31">
        <f t="shared" si="199"/>
        <v>-1.9709051127803079E-5</v>
      </c>
      <c r="AJ138" s="13">
        <f t="shared" si="200"/>
        <v>7.1328615461709544E-2</v>
      </c>
    </row>
    <row r="139" spans="1:36" x14ac:dyDescent="0.25">
      <c r="A139" s="29">
        <v>44713</v>
      </c>
      <c r="B139" s="12">
        <v>-8.4050373326021097E-3</v>
      </c>
      <c r="C139" s="7">
        <v>1.01999999999999E-2</v>
      </c>
      <c r="D139" s="7">
        <v>-5.5084434486708496E-3</v>
      </c>
      <c r="E139" s="13">
        <v>-0.11503264452048</v>
      </c>
      <c r="F139" s="31">
        <f t="shared" si="178"/>
        <v>0.99159496266739788</v>
      </c>
      <c r="G139" s="7">
        <f t="shared" si="178"/>
        <v>1.0102</v>
      </c>
      <c r="H139" s="7">
        <f t="shared" si="178"/>
        <v>0.99449155655132915</v>
      </c>
      <c r="I139" s="13">
        <f t="shared" si="178"/>
        <v>0.88496735547951999</v>
      </c>
      <c r="J139" s="31">
        <f t="shared" si="201"/>
        <v>2.363789967665392</v>
      </c>
      <c r="K139" s="7">
        <f>MAX($J$2:J139)</f>
        <v>2.920075113696702</v>
      </c>
      <c r="L139" s="13">
        <f t="shared" si="179"/>
        <v>-0.19050371116209905</v>
      </c>
      <c r="M139" s="12">
        <f t="shared" si="202"/>
        <v>7.3661963800190051</v>
      </c>
      <c r="N139" s="7">
        <f>MAX($M$2:M139)</f>
        <v>9.9490339673748434</v>
      </c>
      <c r="O139" s="39">
        <f t="shared" si="180"/>
        <v>-0.25960687196621834</v>
      </c>
      <c r="P139" s="31" t="str">
        <f t="shared" si="181"/>
        <v xml:space="preserve"> </v>
      </c>
      <c r="Q139" s="13">
        <f t="shared" si="182"/>
        <v>-8.4050373326021097E-3</v>
      </c>
      <c r="R139" s="31" t="str">
        <f t="shared" si="183"/>
        <v xml:space="preserve"> </v>
      </c>
      <c r="S139" s="39">
        <f t="shared" si="184"/>
        <v>-5.5084434486708496E-3</v>
      </c>
      <c r="T139" s="31">
        <f t="shared" si="185"/>
        <v>-1.860503733260201E-2</v>
      </c>
      <c r="U139" s="39">
        <f t="shared" si="186"/>
        <v>-1.5708443448670749E-2</v>
      </c>
      <c r="V139" s="17">
        <f t="shared" si="187"/>
        <v>-0.12523264452047989</v>
      </c>
      <c r="W139" s="31">
        <f t="shared" si="188"/>
        <v>-1.860503733260201E-2</v>
      </c>
      <c r="X139" s="39">
        <f t="shared" si="189"/>
        <v>3.4614741414751451E-4</v>
      </c>
      <c r="Y139" s="16">
        <f t="shared" si="190"/>
        <v>-1.5708443448670749E-2</v>
      </c>
      <c r="Z139" s="39">
        <f t="shared" si="189"/>
        <v>2.4675519558008699E-4</v>
      </c>
      <c r="AA139" s="16">
        <f t="shared" si="191"/>
        <v>-0.12523264452047989</v>
      </c>
      <c r="AB139" s="13">
        <f t="shared" ref="AB139" si="210">AA139^2</f>
        <v>1.568321525359288E-2</v>
      </c>
      <c r="AC139" s="33">
        <f t="shared" si="193"/>
        <v>-8.4050373326021097E-3</v>
      </c>
      <c r="AD139" s="39">
        <f t="shared" si="194"/>
        <v>7.0644652562435183E-5</v>
      </c>
      <c r="AE139" s="16">
        <f t="shared" si="195"/>
        <v>-5.5084434486708496E-3</v>
      </c>
      <c r="AF139" s="39">
        <f t="shared" si="196"/>
        <v>3.0342949227204802E-5</v>
      </c>
      <c r="AG139" s="16">
        <f t="shared" si="197"/>
        <v>-0.11503264452048</v>
      </c>
      <c r="AH139" s="39">
        <f t="shared" si="198"/>
        <v>1.3232509305375116E-2</v>
      </c>
      <c r="AI139" s="31">
        <f t="shared" si="199"/>
        <v>-2.8965938839312644E-3</v>
      </c>
      <c r="AJ139" s="13">
        <f t="shared" si="200"/>
        <v>-0.10952420107180916</v>
      </c>
    </row>
    <row r="140" spans="1:36" x14ac:dyDescent="0.25">
      <c r="A140" s="29">
        <v>44743</v>
      </c>
      <c r="B140" s="12">
        <v>5.1099931992130497E-2</v>
      </c>
      <c r="C140" s="7">
        <v>1.02999999999999E-2</v>
      </c>
      <c r="D140" s="7">
        <v>7.5411401595044003E-2</v>
      </c>
      <c r="E140" s="13">
        <v>4.6914006210549697E-2</v>
      </c>
      <c r="F140" s="31">
        <f t="shared" si="178"/>
        <v>1.0510999319921306</v>
      </c>
      <c r="G140" s="7">
        <f t="shared" si="178"/>
        <v>1.0103</v>
      </c>
      <c r="H140" s="7">
        <f t="shared" si="178"/>
        <v>1.075411401595044</v>
      </c>
      <c r="I140" s="13">
        <f t="shared" si="178"/>
        <v>1.0469140062105498</v>
      </c>
      <c r="J140" s="31">
        <f t="shared" si="201"/>
        <v>2.4845794742567739</v>
      </c>
      <c r="K140" s="7">
        <f>MAX($J$2:J140)</f>
        <v>2.920075113696702</v>
      </c>
      <c r="L140" s="13">
        <f t="shared" si="179"/>
        <v>-0.14913850585460026</v>
      </c>
      <c r="M140" s="12">
        <f t="shared" si="202"/>
        <v>7.9216915734605777</v>
      </c>
      <c r="N140" s="7">
        <f>MAX($M$2:M140)</f>
        <v>9.9490339673748434</v>
      </c>
      <c r="O140" s="39">
        <f t="shared" si="180"/>
        <v>-0.203772788449852</v>
      </c>
      <c r="P140" s="31">
        <f t="shared" si="181"/>
        <v>5.1099931992130497E-2</v>
      </c>
      <c r="Q140" s="13" t="str">
        <f t="shared" si="182"/>
        <v xml:space="preserve"> </v>
      </c>
      <c r="R140" s="31">
        <f t="shared" si="183"/>
        <v>7.5411401595044003E-2</v>
      </c>
      <c r="S140" s="39" t="str">
        <f t="shared" si="184"/>
        <v xml:space="preserve"> </v>
      </c>
      <c r="T140" s="31">
        <f t="shared" si="185"/>
        <v>4.0799931992130598E-2</v>
      </c>
      <c r="U140" s="39">
        <f t="shared" si="186"/>
        <v>6.5111401595044111E-2</v>
      </c>
      <c r="V140" s="17">
        <f t="shared" si="187"/>
        <v>3.6614006210549797E-2</v>
      </c>
      <c r="W140" s="31">
        <f t="shared" si="188"/>
        <v>0</v>
      </c>
      <c r="X140" s="39">
        <f t="shared" si="189"/>
        <v>0</v>
      </c>
      <c r="Y140" s="16">
        <f t="shared" si="190"/>
        <v>0</v>
      </c>
      <c r="Z140" s="39">
        <f t="shared" si="189"/>
        <v>0</v>
      </c>
      <c r="AA140" s="16">
        <f t="shared" si="191"/>
        <v>0</v>
      </c>
      <c r="AB140" s="13">
        <f t="shared" ref="AB140" si="211">AA140^2</f>
        <v>0</v>
      </c>
      <c r="AC140" s="33">
        <f t="shared" si="193"/>
        <v>0</v>
      </c>
      <c r="AD140" s="39">
        <f t="shared" si="194"/>
        <v>0</v>
      </c>
      <c r="AE140" s="16">
        <f t="shared" si="195"/>
        <v>0</v>
      </c>
      <c r="AF140" s="39">
        <f t="shared" si="196"/>
        <v>0</v>
      </c>
      <c r="AG140" s="16">
        <f t="shared" si="197"/>
        <v>0</v>
      </c>
      <c r="AH140" s="39">
        <f t="shared" si="198"/>
        <v>0</v>
      </c>
      <c r="AI140" s="31">
        <f t="shared" si="199"/>
        <v>-2.4311469602913416E-2</v>
      </c>
      <c r="AJ140" s="13">
        <f t="shared" si="200"/>
        <v>-2.8497395384494251E-2</v>
      </c>
    </row>
    <row r="141" spans="1:36" x14ac:dyDescent="0.25">
      <c r="A141" s="29">
        <v>44774</v>
      </c>
      <c r="B141" s="12">
        <v>-2.15708028541063E-2</v>
      </c>
      <c r="C141" s="7">
        <v>1.17E-2</v>
      </c>
      <c r="D141" s="7">
        <v>-4.95995135052269E-2</v>
      </c>
      <c r="E141" s="13">
        <v>6.1629428585276001E-2</v>
      </c>
      <c r="F141" s="31">
        <f t="shared" si="178"/>
        <v>0.97842919714589371</v>
      </c>
      <c r="G141" s="7">
        <f t="shared" si="178"/>
        <v>1.0117</v>
      </c>
      <c r="H141" s="7">
        <f t="shared" si="178"/>
        <v>0.95040048649477304</v>
      </c>
      <c r="I141" s="13">
        <f t="shared" si="178"/>
        <v>1.0616294285852761</v>
      </c>
      <c r="J141" s="31">
        <f t="shared" si="201"/>
        <v>2.4309851002422223</v>
      </c>
      <c r="K141" s="7">
        <f>MAX($J$2:J141)</f>
        <v>2.920075113696702</v>
      </c>
      <c r="L141" s="13">
        <f t="shared" si="179"/>
        <v>-0.1674922714009609</v>
      </c>
      <c r="M141" s="12">
        <f t="shared" si="202"/>
        <v>7.5287795252784768</v>
      </c>
      <c r="N141" s="7">
        <f>MAX($M$2:M141)</f>
        <v>9.9490339673748434</v>
      </c>
      <c r="O141" s="39">
        <f t="shared" si="180"/>
        <v>-0.24326527078236279</v>
      </c>
      <c r="P141" s="31" t="str">
        <f t="shared" si="181"/>
        <v xml:space="preserve"> </v>
      </c>
      <c r="Q141" s="13">
        <f t="shared" si="182"/>
        <v>-2.15708028541063E-2</v>
      </c>
      <c r="R141" s="31" t="str">
        <f t="shared" si="183"/>
        <v xml:space="preserve"> </v>
      </c>
      <c r="S141" s="39">
        <f t="shared" si="184"/>
        <v>-4.95995135052269E-2</v>
      </c>
      <c r="T141" s="31">
        <f t="shared" si="185"/>
        <v>-3.3270802854106302E-2</v>
      </c>
      <c r="U141" s="39">
        <f t="shared" si="186"/>
        <v>-6.1299513505226902E-2</v>
      </c>
      <c r="V141" s="17">
        <f t="shared" si="187"/>
        <v>4.9929428585275999E-2</v>
      </c>
      <c r="W141" s="31">
        <f t="shared" si="188"/>
        <v>-3.3270802854106302E-2</v>
      </c>
      <c r="X141" s="39">
        <f t="shared" si="189"/>
        <v>1.106946322556808E-3</v>
      </c>
      <c r="Y141" s="16">
        <f t="shared" si="190"/>
        <v>-6.1299513505226902E-2</v>
      </c>
      <c r="Z141" s="39">
        <f t="shared" si="189"/>
        <v>3.7576303559774954E-3</v>
      </c>
      <c r="AA141" s="16">
        <f t="shared" si="191"/>
        <v>0</v>
      </c>
      <c r="AB141" s="13">
        <f t="shared" ref="AB141" si="212">AA141^2</f>
        <v>0</v>
      </c>
      <c r="AC141" s="33">
        <f t="shared" si="193"/>
        <v>-2.15708028541063E-2</v>
      </c>
      <c r="AD141" s="39">
        <f t="shared" si="194"/>
        <v>4.652995357707205E-4</v>
      </c>
      <c r="AE141" s="16">
        <f t="shared" si="195"/>
        <v>-4.95995135052269E-2</v>
      </c>
      <c r="AF141" s="39">
        <f t="shared" si="196"/>
        <v>2.4601117399551857E-3</v>
      </c>
      <c r="AG141" s="16">
        <f t="shared" si="197"/>
        <v>0</v>
      </c>
      <c r="AH141" s="39">
        <f t="shared" si="198"/>
        <v>0</v>
      </c>
      <c r="AI141" s="31">
        <f t="shared" si="199"/>
        <v>2.802871065112067E-2</v>
      </c>
      <c r="AJ141" s="13">
        <f t="shared" si="200"/>
        <v>0.11122894209050305</v>
      </c>
    </row>
    <row r="142" spans="1:36" x14ac:dyDescent="0.25">
      <c r="A142" s="29">
        <v>44805</v>
      </c>
      <c r="B142" s="12">
        <v>-6.7174308524477797E-2</v>
      </c>
      <c r="C142" s="7">
        <v>1.0699999999999901E-2</v>
      </c>
      <c r="D142" s="7">
        <v>-5.13198987401354E-2</v>
      </c>
      <c r="E142" s="13">
        <v>4.6930781662299897E-3</v>
      </c>
      <c r="F142" s="31">
        <f t="shared" si="178"/>
        <v>0.93282569147552219</v>
      </c>
      <c r="G142" s="7">
        <f t="shared" si="178"/>
        <v>1.0106999999999999</v>
      </c>
      <c r="H142" s="7">
        <f t="shared" si="178"/>
        <v>0.94868010125986457</v>
      </c>
      <c r="I142" s="13">
        <f t="shared" si="178"/>
        <v>1.00469307816623</v>
      </c>
      <c r="J142" s="31">
        <f t="shared" si="201"/>
        <v>2.2676853571001425</v>
      </c>
      <c r="K142" s="7">
        <f>MAX($J$2:J142)</f>
        <v>2.920075113696702</v>
      </c>
      <c r="L142" s="13">
        <f t="shared" si="179"/>
        <v>-0.22341540241088503</v>
      </c>
      <c r="M142" s="12">
        <f t="shared" si="202"/>
        <v>7.1424033224043804</v>
      </c>
      <c r="N142" s="7">
        <f>MAX($M$2:M142)</f>
        <v>9.9490339673748434</v>
      </c>
      <c r="O142" s="39">
        <f t="shared" si="180"/>
        <v>-0.28210082045895574</v>
      </c>
      <c r="P142" s="31" t="str">
        <f t="shared" si="181"/>
        <v xml:space="preserve"> </v>
      </c>
      <c r="Q142" s="13">
        <f t="shared" si="182"/>
        <v>-6.7174308524477797E-2</v>
      </c>
      <c r="R142" s="31" t="str">
        <f t="shared" si="183"/>
        <v xml:space="preserve"> </v>
      </c>
      <c r="S142" s="39">
        <f t="shared" si="184"/>
        <v>-5.13198987401354E-2</v>
      </c>
      <c r="T142" s="31">
        <f t="shared" si="185"/>
        <v>-7.7874308524477701E-2</v>
      </c>
      <c r="U142" s="39">
        <f t="shared" si="186"/>
        <v>-6.2019898740135304E-2</v>
      </c>
      <c r="V142" s="17">
        <f t="shared" si="187"/>
        <v>-6.0069218337699109E-3</v>
      </c>
      <c r="W142" s="31">
        <f t="shared" si="188"/>
        <v>-7.7874308524477701E-2</v>
      </c>
      <c r="X142" s="39">
        <f t="shared" si="189"/>
        <v>6.06440792816554E-3</v>
      </c>
      <c r="Y142" s="16">
        <f t="shared" si="190"/>
        <v>-6.2019898740135304E-2</v>
      </c>
      <c r="Z142" s="39">
        <f t="shared" si="189"/>
        <v>3.8464678397366367E-3</v>
      </c>
      <c r="AA142" s="16">
        <f t="shared" si="191"/>
        <v>-6.0069218337699109E-3</v>
      </c>
      <c r="AB142" s="13">
        <f t="shared" ref="AB142" si="213">AA142^2</f>
        <v>3.6083109917021672E-5</v>
      </c>
      <c r="AC142" s="33">
        <f t="shared" si="193"/>
        <v>-6.7174308524477797E-2</v>
      </c>
      <c r="AD142" s="39">
        <f t="shared" si="194"/>
        <v>4.5123877257417302E-3</v>
      </c>
      <c r="AE142" s="16">
        <f t="shared" si="195"/>
        <v>-5.13198987401354E-2</v>
      </c>
      <c r="AF142" s="39">
        <f t="shared" si="196"/>
        <v>2.633732006697751E-3</v>
      </c>
      <c r="AG142" s="16">
        <f t="shared" si="197"/>
        <v>0</v>
      </c>
      <c r="AH142" s="39">
        <f t="shared" si="198"/>
        <v>0</v>
      </c>
      <c r="AI142" s="31">
        <f t="shared" si="199"/>
        <v>-1.5854409784342383E-2</v>
      </c>
      <c r="AJ142" s="13">
        <f t="shared" si="200"/>
        <v>5.6012976906365419E-2</v>
      </c>
    </row>
    <row r="143" spans="1:36" x14ac:dyDescent="0.25">
      <c r="A143" s="29">
        <v>44835</v>
      </c>
      <c r="B143" s="12">
        <v>1.95238901448955E-2</v>
      </c>
      <c r="C143" s="7">
        <v>1.01999999999999E-2</v>
      </c>
      <c r="D143" s="7">
        <v>4.7461641605360802E-2</v>
      </c>
      <c r="E143" s="13">
        <v>5.45271136072411E-2</v>
      </c>
      <c r="F143" s="31">
        <f t="shared" si="178"/>
        <v>1.0195238901448955</v>
      </c>
      <c r="G143" s="7">
        <f t="shared" si="178"/>
        <v>1.0102</v>
      </c>
      <c r="H143" s="7">
        <f t="shared" si="178"/>
        <v>1.0474616416053608</v>
      </c>
      <c r="I143" s="13">
        <f t="shared" si="178"/>
        <v>1.0545271136072412</v>
      </c>
      <c r="J143" s="31">
        <f t="shared" si="201"/>
        <v>2.3119593968953538</v>
      </c>
      <c r="K143" s="7">
        <f>MAX($J$2:J143)</f>
        <v>2.920075113696702</v>
      </c>
      <c r="L143" s="13">
        <f t="shared" si="179"/>
        <v>-0.20825345003933726</v>
      </c>
      <c r="M143" s="12">
        <f t="shared" si="202"/>
        <v>7.4813935090932757</v>
      </c>
      <c r="N143" s="7">
        <f>MAX($M$2:M143)</f>
        <v>9.9490339673748434</v>
      </c>
      <c r="O143" s="39">
        <f t="shared" si="180"/>
        <v>-0.24802814689079611</v>
      </c>
      <c r="P143" s="31">
        <f t="shared" si="181"/>
        <v>1.95238901448955E-2</v>
      </c>
      <c r="Q143" s="13" t="str">
        <f t="shared" si="182"/>
        <v xml:space="preserve"> </v>
      </c>
      <c r="R143" s="31">
        <f t="shared" si="183"/>
        <v>4.7461641605360802E-2</v>
      </c>
      <c r="S143" s="39" t="str">
        <f t="shared" si="184"/>
        <v xml:space="preserve"> </v>
      </c>
      <c r="T143" s="31">
        <f t="shared" si="185"/>
        <v>9.3238901448956003E-3</v>
      </c>
      <c r="U143" s="39">
        <f t="shared" si="186"/>
        <v>3.7261641605360898E-2</v>
      </c>
      <c r="V143" s="17">
        <f t="shared" si="187"/>
        <v>4.4327113607241203E-2</v>
      </c>
      <c r="W143" s="31">
        <f t="shared" si="188"/>
        <v>0</v>
      </c>
      <c r="X143" s="39">
        <f t="shared" si="189"/>
        <v>0</v>
      </c>
      <c r="Y143" s="16">
        <f t="shared" si="190"/>
        <v>0</v>
      </c>
      <c r="Z143" s="39">
        <f t="shared" si="189"/>
        <v>0</v>
      </c>
      <c r="AA143" s="16">
        <f t="shared" si="191"/>
        <v>0</v>
      </c>
      <c r="AB143" s="13">
        <f t="shared" ref="AB143" si="214">AA143^2</f>
        <v>0</v>
      </c>
      <c r="AC143" s="33">
        <f t="shared" si="193"/>
        <v>0</v>
      </c>
      <c r="AD143" s="39">
        <f t="shared" si="194"/>
        <v>0</v>
      </c>
      <c r="AE143" s="16">
        <f t="shared" si="195"/>
        <v>0</v>
      </c>
      <c r="AF143" s="39">
        <f t="shared" si="196"/>
        <v>0</v>
      </c>
      <c r="AG143" s="16">
        <f t="shared" si="197"/>
        <v>0</v>
      </c>
      <c r="AH143" s="39">
        <f t="shared" si="198"/>
        <v>0</v>
      </c>
      <c r="AI143" s="31">
        <f t="shared" si="199"/>
        <v>-2.7937751460465288E-2</v>
      </c>
      <c r="AJ143" s="13">
        <f t="shared" si="200"/>
        <v>7.0654720018803463E-3</v>
      </c>
    </row>
    <row r="144" spans="1:36" x14ac:dyDescent="0.25">
      <c r="A144" s="29">
        <v>44866</v>
      </c>
      <c r="B144" s="12">
        <v>6.2721086300839599E-2</v>
      </c>
      <c r="C144" s="7">
        <v>1.01999999999999E-2</v>
      </c>
      <c r="D144" s="7">
        <v>7.8670074043015195E-2</v>
      </c>
      <c r="E144" s="13">
        <v>-3.0602307884554002E-2</v>
      </c>
      <c r="F144" s="31">
        <f t="shared" si="178"/>
        <v>1.0627210863008396</v>
      </c>
      <c r="G144" s="7">
        <f t="shared" si="178"/>
        <v>1.0102</v>
      </c>
      <c r="H144" s="7">
        <f t="shared" si="178"/>
        <v>1.0786700740430153</v>
      </c>
      <c r="I144" s="13">
        <f t="shared" si="178"/>
        <v>0.96939769211544602</v>
      </c>
      <c r="J144" s="31">
        <f t="shared" si="201"/>
        <v>2.4569680017520645</v>
      </c>
      <c r="K144" s="7">
        <f>MAX($J$2:J144)</f>
        <v>2.920075113696702</v>
      </c>
      <c r="L144" s="13">
        <f t="shared" si="179"/>
        <v>-0.15859424635086247</v>
      </c>
      <c r="M144" s="12">
        <f t="shared" si="202"/>
        <v>8.0699552903985783</v>
      </c>
      <c r="N144" s="7">
        <f>MAX($M$2:M144)</f>
        <v>9.9490339673748434</v>
      </c>
      <c r="O144" s="39">
        <f t="shared" si="180"/>
        <v>-0.18887046552843156</v>
      </c>
      <c r="P144" s="31">
        <f t="shared" si="181"/>
        <v>6.2721086300839599E-2</v>
      </c>
      <c r="Q144" s="13" t="str">
        <f t="shared" si="182"/>
        <v xml:space="preserve"> </v>
      </c>
      <c r="R144" s="31">
        <f t="shared" si="183"/>
        <v>7.8670074043015195E-2</v>
      </c>
      <c r="S144" s="39" t="str">
        <f t="shared" si="184"/>
        <v xml:space="preserve"> </v>
      </c>
      <c r="T144" s="31">
        <f t="shared" si="185"/>
        <v>5.2521086300839695E-2</v>
      </c>
      <c r="U144" s="39">
        <f t="shared" si="186"/>
        <v>6.8470074043015292E-2</v>
      </c>
      <c r="V144" s="17">
        <f t="shared" si="187"/>
        <v>-4.0802307884553898E-2</v>
      </c>
      <c r="W144" s="31">
        <f t="shared" si="188"/>
        <v>0</v>
      </c>
      <c r="X144" s="39">
        <f t="shared" si="189"/>
        <v>0</v>
      </c>
      <c r="Y144" s="16">
        <f t="shared" si="190"/>
        <v>0</v>
      </c>
      <c r="Z144" s="39">
        <f t="shared" si="189"/>
        <v>0</v>
      </c>
      <c r="AA144" s="16">
        <f t="shared" si="191"/>
        <v>-4.0802307884553898E-2</v>
      </c>
      <c r="AB144" s="13">
        <f t="shared" ref="AB144" si="215">AA144^2</f>
        <v>1.6648283287059292E-3</v>
      </c>
      <c r="AC144" s="33">
        <f t="shared" si="193"/>
        <v>0</v>
      </c>
      <c r="AD144" s="39">
        <f t="shared" si="194"/>
        <v>0</v>
      </c>
      <c r="AE144" s="16">
        <f t="shared" si="195"/>
        <v>0</v>
      </c>
      <c r="AF144" s="39">
        <f t="shared" si="196"/>
        <v>0</v>
      </c>
      <c r="AG144" s="16">
        <f t="shared" si="197"/>
        <v>-3.0602307884554002E-2</v>
      </c>
      <c r="AH144" s="39">
        <f t="shared" si="198"/>
        <v>9.3650124786103601E-4</v>
      </c>
      <c r="AI144" s="31">
        <f t="shared" si="199"/>
        <v>-1.594898774217568E-2</v>
      </c>
      <c r="AJ144" s="13">
        <f t="shared" si="200"/>
        <v>-0.10927238192756927</v>
      </c>
    </row>
    <row r="145" spans="1:36" x14ac:dyDescent="0.25">
      <c r="A145" s="29">
        <v>44896</v>
      </c>
      <c r="B145" s="12">
        <v>-1.3564422542237499E-2</v>
      </c>
      <c r="C145" s="7">
        <v>1.12E-2</v>
      </c>
      <c r="D145" s="7">
        <v>-4.8750671846288798E-2</v>
      </c>
      <c r="E145" s="13">
        <v>-2.1824938214533299E-2</v>
      </c>
      <c r="F145" s="31">
        <f t="shared" si="178"/>
        <v>0.98643557745776245</v>
      </c>
      <c r="G145" s="7">
        <f t="shared" si="178"/>
        <v>1.0112000000000001</v>
      </c>
      <c r="H145" s="7">
        <f t="shared" si="178"/>
        <v>0.95124932815371122</v>
      </c>
      <c r="I145" s="13">
        <f t="shared" si="178"/>
        <v>0.97817506178546665</v>
      </c>
      <c r="J145" s="31">
        <f t="shared" si="201"/>
        <v>2.4236406496035423</v>
      </c>
      <c r="K145" s="7">
        <f>MAX($J$2:J145)</f>
        <v>2.920075113696702</v>
      </c>
      <c r="L145" s="13">
        <f t="shared" si="179"/>
        <v>-0.17000742952282927</v>
      </c>
      <c r="M145" s="12">
        <f t="shared" si="202"/>
        <v>7.6765395482221352</v>
      </c>
      <c r="N145" s="7">
        <f>MAX($M$2:M145)</f>
        <v>9.9490339673748434</v>
      </c>
      <c r="O145" s="39">
        <f t="shared" si="180"/>
        <v>-0.22841357528828796</v>
      </c>
      <c r="P145" s="31" t="str">
        <f t="shared" si="181"/>
        <v xml:space="preserve"> </v>
      </c>
      <c r="Q145" s="13">
        <f t="shared" si="182"/>
        <v>-1.3564422542237499E-2</v>
      </c>
      <c r="R145" s="31" t="str">
        <f t="shared" si="183"/>
        <v xml:space="preserve"> </v>
      </c>
      <c r="S145" s="39">
        <f t="shared" si="184"/>
        <v>-4.8750671846288798E-2</v>
      </c>
      <c r="T145" s="31">
        <f t="shared" si="185"/>
        <v>-2.4764422542237499E-2</v>
      </c>
      <c r="U145" s="39">
        <f t="shared" si="186"/>
        <v>-5.99506718462888E-2</v>
      </c>
      <c r="V145" s="17">
        <f t="shared" si="187"/>
        <v>-3.3024938214533298E-2</v>
      </c>
      <c r="W145" s="31">
        <f t="shared" si="188"/>
        <v>-2.4764422542237499E-2</v>
      </c>
      <c r="X145" s="39">
        <f t="shared" si="189"/>
        <v>6.1327662385048077E-4</v>
      </c>
      <c r="Y145" s="16">
        <f t="shared" si="190"/>
        <v>-5.99506718462888E-2</v>
      </c>
      <c r="Z145" s="39">
        <f t="shared" si="189"/>
        <v>3.5940830548214044E-3</v>
      </c>
      <c r="AA145" s="16">
        <f t="shared" si="191"/>
        <v>-3.3024938214533298E-2</v>
      </c>
      <c r="AB145" s="13">
        <f t="shared" ref="AB145" si="216">AA145^2</f>
        <v>1.0906465440737418E-3</v>
      </c>
      <c r="AC145" s="33">
        <f t="shared" si="193"/>
        <v>-1.3564422542237499E-2</v>
      </c>
      <c r="AD145" s="39">
        <f t="shared" si="194"/>
        <v>1.8399355890436083E-4</v>
      </c>
      <c r="AE145" s="16">
        <f t="shared" si="195"/>
        <v>-4.8750671846288798E-2</v>
      </c>
      <c r="AF145" s="39">
        <f t="shared" si="196"/>
        <v>2.3766280054645351E-3</v>
      </c>
      <c r="AG145" s="16">
        <f t="shared" si="197"/>
        <v>-2.1824938214533299E-2</v>
      </c>
      <c r="AH145" s="39">
        <f t="shared" si="198"/>
        <v>4.7632792806819594E-4</v>
      </c>
      <c r="AI145" s="31">
        <f t="shared" si="199"/>
        <v>3.5186249304051231E-2</v>
      </c>
      <c r="AJ145" s="13">
        <f t="shared" si="200"/>
        <v>2.6925733631755433E-2</v>
      </c>
    </row>
    <row r="146" spans="1:36" x14ac:dyDescent="0.25">
      <c r="A146" s="29">
        <v>44927</v>
      </c>
      <c r="B146" s="12">
        <v>4.1617975729686098E-2</v>
      </c>
      <c r="C146" s="7">
        <v>1.12E-2</v>
      </c>
      <c r="D146" s="7">
        <v>4.9944188654663602E-2</v>
      </c>
      <c r="E146" s="13">
        <v>3.1818305750197701E-2</v>
      </c>
      <c r="F146" s="31">
        <f t="shared" si="178"/>
        <v>1.0416179757296862</v>
      </c>
      <c r="G146" s="7">
        <f t="shared" si="178"/>
        <v>1.0112000000000001</v>
      </c>
      <c r="H146" s="7">
        <f t="shared" si="178"/>
        <v>1.0499441886546637</v>
      </c>
      <c r="I146" s="13">
        <f t="shared" si="178"/>
        <v>1.0318183057501977</v>
      </c>
      <c r="J146" s="31">
        <f t="shared" si="201"/>
        <v>2.5245076673362234</v>
      </c>
      <c r="K146" s="7">
        <f>MAX($J$2:J146)</f>
        <v>2.920075113696702</v>
      </c>
      <c r="L146" s="13">
        <f t="shared" si="179"/>
        <v>-0.1354648188688905</v>
      </c>
      <c r="M146" s="12">
        <f t="shared" si="202"/>
        <v>8.0599380876335278</v>
      </c>
      <c r="N146" s="7">
        <f>MAX($M$2:M146)</f>
        <v>9.9490339673748434</v>
      </c>
      <c r="O146" s="39">
        <f t="shared" si="180"/>
        <v>-0.18987731732910881</v>
      </c>
      <c r="P146" s="31">
        <f t="shared" si="181"/>
        <v>4.1617975729686098E-2</v>
      </c>
      <c r="Q146" s="13" t="str">
        <f t="shared" si="182"/>
        <v xml:space="preserve"> </v>
      </c>
      <c r="R146" s="31">
        <f t="shared" si="183"/>
        <v>4.9944188654663602E-2</v>
      </c>
      <c r="S146" s="39" t="str">
        <f t="shared" si="184"/>
        <v xml:space="preserve"> </v>
      </c>
      <c r="T146" s="31">
        <f t="shared" si="185"/>
        <v>3.0417975729686096E-2</v>
      </c>
      <c r="U146" s="39">
        <f t="shared" si="186"/>
        <v>3.87441886546636E-2</v>
      </c>
      <c r="V146" s="17">
        <f t="shared" si="187"/>
        <v>2.0618305750197699E-2</v>
      </c>
      <c r="W146" s="31">
        <f t="shared" si="188"/>
        <v>0</v>
      </c>
      <c r="X146" s="39">
        <f t="shared" si="189"/>
        <v>0</v>
      </c>
      <c r="Y146" s="16">
        <f t="shared" si="190"/>
        <v>0</v>
      </c>
      <c r="Z146" s="39">
        <f t="shared" si="189"/>
        <v>0</v>
      </c>
      <c r="AA146" s="16">
        <f t="shared" si="191"/>
        <v>0</v>
      </c>
      <c r="AB146" s="13">
        <f t="shared" ref="AB146" si="217">AA146^2</f>
        <v>0</v>
      </c>
      <c r="AC146" s="33">
        <f t="shared" si="193"/>
        <v>0</v>
      </c>
      <c r="AD146" s="39">
        <f t="shared" si="194"/>
        <v>0</v>
      </c>
      <c r="AE146" s="16">
        <f t="shared" si="195"/>
        <v>0</v>
      </c>
      <c r="AF146" s="39">
        <f t="shared" si="196"/>
        <v>0</v>
      </c>
      <c r="AG146" s="16">
        <f t="shared" si="197"/>
        <v>0</v>
      </c>
      <c r="AH146" s="39">
        <f t="shared" si="198"/>
        <v>0</v>
      </c>
      <c r="AI146" s="31">
        <f t="shared" si="199"/>
        <v>-8.326212924977483E-3</v>
      </c>
      <c r="AJ146" s="13">
        <f t="shared" si="200"/>
        <v>-1.8125882904465929E-2</v>
      </c>
    </row>
    <row r="147" spans="1:36" x14ac:dyDescent="0.25">
      <c r="A147" s="29">
        <v>44958</v>
      </c>
      <c r="B147" s="12">
        <v>-4.9457116393505302E-3</v>
      </c>
      <c r="C147" s="7">
        <v>9.2000000000000901E-3</v>
      </c>
      <c r="D147" s="7">
        <v>-1.5743982837730399E-2</v>
      </c>
      <c r="E147" s="13">
        <v>-7.5749568403621903E-2</v>
      </c>
      <c r="F147" s="31">
        <f t="shared" si="178"/>
        <v>0.99505428836064946</v>
      </c>
      <c r="G147" s="7">
        <f t="shared" si="178"/>
        <v>1.0092000000000001</v>
      </c>
      <c r="H147" s="7">
        <f t="shared" si="178"/>
        <v>0.98425601716226963</v>
      </c>
      <c r="I147" s="13">
        <f t="shared" si="178"/>
        <v>0.9242504315963781</v>
      </c>
      <c r="J147" s="31">
        <f t="shared" si="201"/>
        <v>2.5120221803822491</v>
      </c>
      <c r="K147" s="7">
        <f>MAX($J$2:J147)</f>
        <v>2.920075113696702</v>
      </c>
      <c r="L147" s="13">
        <f t="shared" si="179"/>
        <v>-0.13974056057683862</v>
      </c>
      <c r="M147" s="12">
        <f t="shared" si="202"/>
        <v>7.9330425607086559</v>
      </c>
      <c r="N147" s="7">
        <f>MAX($M$2:M147)</f>
        <v>9.9490339673748434</v>
      </c>
      <c r="O147" s="39">
        <f t="shared" si="180"/>
        <v>-0.20263187494153545</v>
      </c>
      <c r="P147" s="31" t="str">
        <f t="shared" si="181"/>
        <v xml:space="preserve"> </v>
      </c>
      <c r="Q147" s="13">
        <f t="shared" si="182"/>
        <v>-4.9457116393505302E-3</v>
      </c>
      <c r="R147" s="31" t="str">
        <f t="shared" si="183"/>
        <v xml:space="preserve"> </v>
      </c>
      <c r="S147" s="39">
        <f t="shared" si="184"/>
        <v>-1.5743982837730399E-2</v>
      </c>
      <c r="T147" s="31">
        <f t="shared" si="185"/>
        <v>-1.4145711639350619E-2</v>
      </c>
      <c r="U147" s="39">
        <f t="shared" si="186"/>
        <v>-2.4943982837730489E-2</v>
      </c>
      <c r="V147" s="17">
        <f t="shared" si="187"/>
        <v>-8.4949568403622E-2</v>
      </c>
      <c r="W147" s="31">
        <f t="shared" si="188"/>
        <v>-1.4145711639350619E-2</v>
      </c>
      <c r="X147" s="39">
        <f t="shared" si="189"/>
        <v>2.0010115778365959E-4</v>
      </c>
      <c r="Y147" s="16">
        <f t="shared" si="190"/>
        <v>-2.4943982837730489E-2</v>
      </c>
      <c r="Z147" s="39">
        <f t="shared" si="189"/>
        <v>6.2220227980899323E-4</v>
      </c>
      <c r="AA147" s="16">
        <f t="shared" si="191"/>
        <v>-8.4949568403622E-2</v>
      </c>
      <c r="AB147" s="13">
        <f t="shared" ref="AB147" si="218">AA147^2</f>
        <v>7.2164291719616531E-3</v>
      </c>
      <c r="AC147" s="33">
        <f t="shared" si="193"/>
        <v>-4.9457116393505302E-3</v>
      </c>
      <c r="AD147" s="39">
        <f t="shared" si="194"/>
        <v>2.446006361960731E-5</v>
      </c>
      <c r="AE147" s="16">
        <f t="shared" si="195"/>
        <v>-1.5743982837730399E-2</v>
      </c>
      <c r="AF147" s="39">
        <f t="shared" si="196"/>
        <v>2.4787299559474933E-4</v>
      </c>
      <c r="AG147" s="16">
        <f t="shared" si="197"/>
        <v>-7.5749568403621903E-2</v>
      </c>
      <c r="AH147" s="39">
        <f t="shared" si="198"/>
        <v>5.7379971133349941E-3</v>
      </c>
      <c r="AI147" s="31">
        <f t="shared" si="199"/>
        <v>1.0798271198379839E-2</v>
      </c>
      <c r="AJ147" s="13">
        <f t="shared" si="200"/>
        <v>-6.0005585565891528E-2</v>
      </c>
    </row>
    <row r="148" spans="1:36" x14ac:dyDescent="0.25">
      <c r="A148" s="29">
        <v>44986</v>
      </c>
      <c r="B148" s="12">
        <v>-1.53619139570071E-2</v>
      </c>
      <c r="C148" s="7">
        <v>1.17E-2</v>
      </c>
      <c r="D148" s="7">
        <v>4.0627780657993499E-3</v>
      </c>
      <c r="E148" s="13">
        <v>-2.9066443029771599E-2</v>
      </c>
      <c r="F148" s="31">
        <f t="shared" si="178"/>
        <v>0.98463808604299285</v>
      </c>
      <c r="G148" s="7">
        <f t="shared" si="178"/>
        <v>1.0117</v>
      </c>
      <c r="H148" s="7">
        <f t="shared" si="178"/>
        <v>1.0040627780657994</v>
      </c>
      <c r="I148" s="13">
        <f t="shared" si="178"/>
        <v>0.97093355697022843</v>
      </c>
      <c r="J148" s="31">
        <f t="shared" si="201"/>
        <v>2.4734327117891235</v>
      </c>
      <c r="K148" s="7">
        <f>MAX($J$2:J148)</f>
        <v>2.920075113696702</v>
      </c>
      <c r="L148" s="13">
        <f t="shared" si="179"/>
        <v>-0.15295579206596044</v>
      </c>
      <c r="M148" s="12">
        <f t="shared" si="202"/>
        <v>7.9652727520193558</v>
      </c>
      <c r="N148" s="7">
        <f>MAX($M$2:M148)</f>
        <v>9.9490339673748434</v>
      </c>
      <c r="O148" s="39">
        <f t="shared" si="180"/>
        <v>-0.19939234521268034</v>
      </c>
      <c r="P148" s="31" t="str">
        <f t="shared" si="181"/>
        <v xml:space="preserve"> </v>
      </c>
      <c r="Q148" s="13">
        <f t="shared" si="182"/>
        <v>-1.53619139570071E-2</v>
      </c>
      <c r="R148" s="31">
        <f t="shared" si="183"/>
        <v>4.0627780657993499E-3</v>
      </c>
      <c r="S148" s="39" t="str">
        <f t="shared" si="184"/>
        <v xml:space="preserve"> </v>
      </c>
      <c r="T148" s="31">
        <f t="shared" si="185"/>
        <v>-2.7061913957007099E-2</v>
      </c>
      <c r="U148" s="39">
        <f t="shared" si="186"/>
        <v>-7.6372219342006505E-3</v>
      </c>
      <c r="V148" s="17">
        <f t="shared" si="187"/>
        <v>-4.0766443029771601E-2</v>
      </c>
      <c r="W148" s="31">
        <f t="shared" si="188"/>
        <v>-2.7061913957007099E-2</v>
      </c>
      <c r="X148" s="39">
        <f t="shared" si="189"/>
        <v>7.3234718701645554E-4</v>
      </c>
      <c r="Y148" s="16">
        <f t="shared" si="190"/>
        <v>-7.6372219342006505E-3</v>
      </c>
      <c r="Z148" s="39">
        <f t="shared" si="189"/>
        <v>5.8327158872235523E-5</v>
      </c>
      <c r="AA148" s="16">
        <f t="shared" si="191"/>
        <v>-4.0766443029771601E-2</v>
      </c>
      <c r="AB148" s="13">
        <f t="shared" ref="AB148" si="219">AA148^2</f>
        <v>1.6619028772996136E-3</v>
      </c>
      <c r="AC148" s="33">
        <f t="shared" si="193"/>
        <v>-1.53619139570071E-2</v>
      </c>
      <c r="AD148" s="39">
        <f t="shared" si="194"/>
        <v>2.3598840042248954E-4</v>
      </c>
      <c r="AE148" s="16">
        <f t="shared" si="195"/>
        <v>0</v>
      </c>
      <c r="AF148" s="39">
        <f t="shared" si="196"/>
        <v>0</v>
      </c>
      <c r="AG148" s="16">
        <f t="shared" si="197"/>
        <v>-2.9066443029771599E-2</v>
      </c>
      <c r="AH148" s="39">
        <f t="shared" si="198"/>
        <v>8.4485811040295802E-4</v>
      </c>
      <c r="AI148" s="31">
        <f t="shared" si="199"/>
        <v>-1.94246920228065E-2</v>
      </c>
      <c r="AJ148" s="13">
        <f t="shared" si="200"/>
        <v>-3.3129221095570927E-2</v>
      </c>
    </row>
    <row r="149" spans="1:36" x14ac:dyDescent="0.25">
      <c r="A149" s="29">
        <v>45017</v>
      </c>
      <c r="B149" s="12">
        <v>3.3179006316477102E-3</v>
      </c>
      <c r="C149" s="7">
        <v>9.2000000000000901E-3</v>
      </c>
      <c r="D149" s="7">
        <v>-3.9459446092501198E-3</v>
      </c>
      <c r="E149" s="13">
        <v>2.5028955065664101E-2</v>
      </c>
      <c r="F149" s="31">
        <f t="shared" si="178"/>
        <v>1.0033179006316477</v>
      </c>
      <c r="G149" s="7">
        <f t="shared" si="178"/>
        <v>1.0092000000000001</v>
      </c>
      <c r="H149" s="7">
        <f t="shared" si="178"/>
        <v>0.99605405539074987</v>
      </c>
      <c r="I149" s="13">
        <f t="shared" si="178"/>
        <v>1.0250289550656642</v>
      </c>
      <c r="J149" s="31">
        <f t="shared" si="201"/>
        <v>2.4816393157459067</v>
      </c>
      <c r="K149" s="7">
        <f>MAX($J$2:J149)</f>
        <v>2.920075113696702</v>
      </c>
      <c r="L149" s="13">
        <f t="shared" si="179"/>
        <v>-0.15014538355342258</v>
      </c>
      <c r="M149" s="12">
        <f t="shared" si="202"/>
        <v>7.9338422269423177</v>
      </c>
      <c r="N149" s="7">
        <f>MAX($M$2:M149)</f>
        <v>9.9490339673748434</v>
      </c>
      <c r="O149" s="39">
        <f t="shared" si="180"/>
        <v>-0.20255149867221281</v>
      </c>
      <c r="P149" s="31">
        <f t="shared" si="181"/>
        <v>3.3179006316477102E-3</v>
      </c>
      <c r="Q149" s="13" t="str">
        <f t="shared" si="182"/>
        <v xml:space="preserve"> </v>
      </c>
      <c r="R149" s="31" t="str">
        <f t="shared" si="183"/>
        <v xml:space="preserve"> </v>
      </c>
      <c r="S149" s="39">
        <f t="shared" si="184"/>
        <v>-3.9459446092501198E-3</v>
      </c>
      <c r="T149" s="31">
        <f t="shared" si="185"/>
        <v>-5.8820993683523799E-3</v>
      </c>
      <c r="U149" s="39">
        <f t="shared" si="186"/>
        <v>-1.3145944609250209E-2</v>
      </c>
      <c r="V149" s="17">
        <f t="shared" si="187"/>
        <v>1.5828955065664011E-2</v>
      </c>
      <c r="W149" s="31">
        <f t="shared" si="188"/>
        <v>-5.8820993683523799E-3</v>
      </c>
      <c r="X149" s="39">
        <f t="shared" si="189"/>
        <v>3.4599092979171466E-5</v>
      </c>
      <c r="Y149" s="16">
        <f t="shared" si="190"/>
        <v>-1.3145944609250209E-2</v>
      </c>
      <c r="Z149" s="39">
        <f t="shared" si="189"/>
        <v>1.7281585966947462E-4</v>
      </c>
      <c r="AA149" s="16">
        <f t="shared" si="191"/>
        <v>0</v>
      </c>
      <c r="AB149" s="13">
        <f t="shared" ref="AB149" si="220">AA149^2</f>
        <v>0</v>
      </c>
      <c r="AC149" s="33">
        <f t="shared" si="193"/>
        <v>0</v>
      </c>
      <c r="AD149" s="39">
        <f t="shared" si="194"/>
        <v>0</v>
      </c>
      <c r="AE149" s="16">
        <f t="shared" si="195"/>
        <v>-3.9459446092501198E-3</v>
      </c>
      <c r="AF149" s="39">
        <f t="shared" si="196"/>
        <v>1.5570478859270082E-5</v>
      </c>
      <c r="AG149" s="16">
        <f t="shared" si="197"/>
        <v>0</v>
      </c>
      <c r="AH149" s="39">
        <f t="shared" si="198"/>
        <v>0</v>
      </c>
      <c r="AI149" s="31">
        <f t="shared" si="199"/>
        <v>7.2638452408978482E-3</v>
      </c>
      <c r="AJ149" s="13">
        <f t="shared" si="200"/>
        <v>2.897489967491429E-2</v>
      </c>
    </row>
    <row r="150" spans="1:36" x14ac:dyDescent="0.25">
      <c r="A150" s="29">
        <v>45047</v>
      </c>
      <c r="B150" s="12">
        <v>-1.9921256466293101E-4</v>
      </c>
      <c r="C150" s="7">
        <v>1.12E-2</v>
      </c>
      <c r="D150" s="7">
        <v>-2.2693544194529701E-3</v>
      </c>
      <c r="E150" s="13">
        <v>3.73736019610846E-2</v>
      </c>
      <c r="F150" s="31">
        <f t="shared" si="178"/>
        <v>0.99980078743533707</v>
      </c>
      <c r="G150" s="7">
        <f t="shared" si="178"/>
        <v>1.0112000000000001</v>
      </c>
      <c r="H150" s="7">
        <f t="shared" si="178"/>
        <v>0.99773064558054703</v>
      </c>
      <c r="I150" s="13">
        <f t="shared" si="178"/>
        <v>1.0373736019610846</v>
      </c>
      <c r="J150" s="31">
        <f t="shared" si="201"/>
        <v>2.4811449420132488</v>
      </c>
      <c r="K150" s="7">
        <f>MAX($J$2:J150)</f>
        <v>2.920075113696702</v>
      </c>
      <c r="L150" s="13">
        <f t="shared" si="179"/>
        <v>-0.15031468527115546</v>
      </c>
      <c r="M150" s="12">
        <f t="shared" si="202"/>
        <v>7.9158375270213632</v>
      </c>
      <c r="N150" s="7">
        <f>MAX($M$2:M150)</f>
        <v>9.9490339673748434</v>
      </c>
      <c r="O150" s="39">
        <f t="shared" si="180"/>
        <v>-0.20436119195298719</v>
      </c>
      <c r="P150" s="31" t="str">
        <f t="shared" si="181"/>
        <v xml:space="preserve"> </v>
      </c>
      <c r="Q150" s="13">
        <f t="shared" si="182"/>
        <v>-1.9921256466293101E-4</v>
      </c>
      <c r="R150" s="31" t="str">
        <f t="shared" si="183"/>
        <v xml:space="preserve"> </v>
      </c>
      <c r="S150" s="39">
        <f t="shared" si="184"/>
        <v>-2.2693544194529701E-3</v>
      </c>
      <c r="T150" s="31">
        <f t="shared" si="185"/>
        <v>-1.1399212564662932E-2</v>
      </c>
      <c r="U150" s="39">
        <f t="shared" si="186"/>
        <v>-1.346935441945297E-2</v>
      </c>
      <c r="V150" s="17">
        <f t="shared" si="187"/>
        <v>2.6173601961084599E-2</v>
      </c>
      <c r="W150" s="31">
        <f t="shared" si="188"/>
        <v>-1.1399212564662932E-2</v>
      </c>
      <c r="X150" s="39">
        <f t="shared" si="189"/>
        <v>1.2994204709436925E-4</v>
      </c>
      <c r="Y150" s="16">
        <f t="shared" si="190"/>
        <v>-1.346935441945297E-2</v>
      </c>
      <c r="Z150" s="39">
        <f t="shared" si="189"/>
        <v>1.8142350847683724E-4</v>
      </c>
      <c r="AA150" s="16">
        <f t="shared" si="191"/>
        <v>0</v>
      </c>
      <c r="AB150" s="13">
        <f t="shared" ref="AB150" si="221">AA150^2</f>
        <v>0</v>
      </c>
      <c r="AC150" s="33">
        <f t="shared" si="193"/>
        <v>-1.9921256466293101E-4</v>
      </c>
      <c r="AD150" s="39">
        <f t="shared" si="194"/>
        <v>3.9685645919582469E-8</v>
      </c>
      <c r="AE150" s="16">
        <f t="shared" si="195"/>
        <v>-2.2693544194529701E-3</v>
      </c>
      <c r="AF150" s="39">
        <f t="shared" si="196"/>
        <v>5.1499694810907269E-6</v>
      </c>
      <c r="AG150" s="16">
        <f t="shared" si="197"/>
        <v>0</v>
      </c>
      <c r="AH150" s="39">
        <f t="shared" si="198"/>
        <v>0</v>
      </c>
      <c r="AI150" s="31">
        <f t="shared" si="199"/>
        <v>2.0701418547900419E-3</v>
      </c>
      <c r="AJ150" s="13">
        <f t="shared" si="200"/>
        <v>3.9642956380537608E-2</v>
      </c>
    </row>
    <row r="151" spans="1:36" x14ac:dyDescent="0.25">
      <c r="A151" s="29">
        <v>45078</v>
      </c>
      <c r="B151" s="12">
        <v>2.3338008390308501E-2</v>
      </c>
      <c r="C151" s="7">
        <v>1.0699999999999901E-2</v>
      </c>
      <c r="D151" s="7">
        <v>1.36367262039434E-2</v>
      </c>
      <c r="E151" s="13">
        <v>9.0017076660358894E-2</v>
      </c>
      <c r="F151" s="31">
        <f t="shared" si="178"/>
        <v>1.0233380083903085</v>
      </c>
      <c r="G151" s="7">
        <f t="shared" si="178"/>
        <v>1.0106999999999999</v>
      </c>
      <c r="H151" s="7">
        <f t="shared" si="178"/>
        <v>1.0136367262039434</v>
      </c>
      <c r="I151" s="13">
        <f t="shared" si="178"/>
        <v>1.090017076660359</v>
      </c>
      <c r="J151" s="31">
        <f t="shared" si="201"/>
        <v>2.5390499234875255</v>
      </c>
      <c r="K151" s="7">
        <f>MAX($J$2:J151)</f>
        <v>2.920075113696702</v>
      </c>
      <c r="L151" s="13">
        <f t="shared" si="179"/>
        <v>-0.13048472226689178</v>
      </c>
      <c r="M151" s="12">
        <f t="shared" si="202"/>
        <v>8.0237836360522543</v>
      </c>
      <c r="N151" s="7">
        <f>MAX($M$2:M151)</f>
        <v>9.9490339673748434</v>
      </c>
      <c r="O151" s="39">
        <f t="shared" si="180"/>
        <v>-0.19351128337041817</v>
      </c>
      <c r="P151" s="31">
        <f t="shared" si="181"/>
        <v>2.3338008390308501E-2</v>
      </c>
      <c r="Q151" s="13" t="str">
        <f t="shared" si="182"/>
        <v xml:space="preserve"> </v>
      </c>
      <c r="R151" s="31">
        <f t="shared" si="183"/>
        <v>1.36367262039434E-2</v>
      </c>
      <c r="S151" s="39" t="str">
        <f t="shared" si="184"/>
        <v xml:space="preserve"> </v>
      </c>
      <c r="T151" s="31">
        <f t="shared" si="185"/>
        <v>1.2638008390308601E-2</v>
      </c>
      <c r="U151" s="39">
        <f t="shared" si="186"/>
        <v>2.9367262039434999E-3</v>
      </c>
      <c r="V151" s="17">
        <f t="shared" si="187"/>
        <v>7.931707666035899E-2</v>
      </c>
      <c r="W151" s="31">
        <f t="shared" si="188"/>
        <v>0</v>
      </c>
      <c r="X151" s="39">
        <f t="shared" si="189"/>
        <v>0</v>
      </c>
      <c r="Y151" s="16">
        <f t="shared" si="190"/>
        <v>0</v>
      </c>
      <c r="Z151" s="39">
        <f t="shared" si="189"/>
        <v>0</v>
      </c>
      <c r="AA151" s="16">
        <f t="shared" si="191"/>
        <v>0</v>
      </c>
      <c r="AB151" s="13">
        <f t="shared" ref="AB151" si="222">AA151^2</f>
        <v>0</v>
      </c>
      <c r="AC151" s="33">
        <f t="shared" si="193"/>
        <v>0</v>
      </c>
      <c r="AD151" s="39">
        <f t="shared" si="194"/>
        <v>0</v>
      </c>
      <c r="AE151" s="16">
        <f t="shared" si="195"/>
        <v>0</v>
      </c>
      <c r="AF151" s="39">
        <f t="shared" si="196"/>
        <v>0</v>
      </c>
      <c r="AG151" s="16">
        <f t="shared" si="197"/>
        <v>0</v>
      </c>
      <c r="AH151" s="39">
        <f t="shared" si="198"/>
        <v>0</v>
      </c>
      <c r="AI151" s="31">
        <f t="shared" si="199"/>
        <v>9.7012821863651233E-3</v>
      </c>
      <c r="AJ151" s="13">
        <f t="shared" si="200"/>
        <v>7.6380350456415558E-2</v>
      </c>
    </row>
    <row r="152" spans="1:36" x14ac:dyDescent="0.25">
      <c r="A152" s="29">
        <v>45108</v>
      </c>
      <c r="B152" s="12">
        <v>3.7162598607361798E-2</v>
      </c>
      <c r="C152" s="7">
        <v>1.0699999999999901E-2</v>
      </c>
      <c r="D152" s="7">
        <v>1.5715130500203199E-2</v>
      </c>
      <c r="E152" s="13">
        <v>3.2653890775445199E-2</v>
      </c>
      <c r="F152" s="31">
        <f t="shared" si="178"/>
        <v>1.0371625986073618</v>
      </c>
      <c r="G152" s="7">
        <f t="shared" si="178"/>
        <v>1.0106999999999999</v>
      </c>
      <c r="H152" s="7">
        <f t="shared" si="178"/>
        <v>1.0157151305002032</v>
      </c>
      <c r="I152" s="13">
        <f t="shared" si="178"/>
        <v>1.0326538907754452</v>
      </c>
      <c r="J152" s="31">
        <f t="shared" si="201"/>
        <v>2.633407616638145</v>
      </c>
      <c r="K152" s="7">
        <f>MAX($J$2:J152)</f>
        <v>2.920075113696702</v>
      </c>
      <c r="L152" s="13">
        <f t="shared" si="179"/>
        <v>-9.8171275017527551E-2</v>
      </c>
      <c r="M152" s="12">
        <f t="shared" si="202"/>
        <v>8.1498784429982098</v>
      </c>
      <c r="N152" s="7">
        <f>MAX($M$2:M152)</f>
        <v>9.9490339673748434</v>
      </c>
      <c r="O152" s="39">
        <f t="shared" si="180"/>
        <v>-0.18083720794164296</v>
      </c>
      <c r="P152" s="31">
        <f t="shared" si="181"/>
        <v>3.7162598607361798E-2</v>
      </c>
      <c r="Q152" s="13" t="str">
        <f t="shared" si="182"/>
        <v xml:space="preserve"> </v>
      </c>
      <c r="R152" s="31">
        <f t="shared" si="183"/>
        <v>1.5715130500203199E-2</v>
      </c>
      <c r="S152" s="39" t="str">
        <f t="shared" si="184"/>
        <v xml:space="preserve"> </v>
      </c>
      <c r="T152" s="31">
        <f t="shared" si="185"/>
        <v>2.6462598607361897E-2</v>
      </c>
      <c r="U152" s="39">
        <f t="shared" si="186"/>
        <v>5.0151305002032985E-3</v>
      </c>
      <c r="V152" s="17">
        <f t="shared" si="187"/>
        <v>2.1953890775445298E-2</v>
      </c>
      <c r="W152" s="31">
        <f t="shared" si="188"/>
        <v>0</v>
      </c>
      <c r="X152" s="39">
        <f t="shared" si="189"/>
        <v>0</v>
      </c>
      <c r="Y152" s="16">
        <f t="shared" si="190"/>
        <v>0</v>
      </c>
      <c r="Z152" s="39">
        <f t="shared" si="189"/>
        <v>0</v>
      </c>
      <c r="AA152" s="16">
        <f t="shared" si="191"/>
        <v>0</v>
      </c>
      <c r="AB152" s="13">
        <f t="shared" ref="AB152" si="223">AA152^2</f>
        <v>0</v>
      </c>
      <c r="AC152" s="33">
        <f t="shared" si="193"/>
        <v>0</v>
      </c>
      <c r="AD152" s="39">
        <f t="shared" si="194"/>
        <v>0</v>
      </c>
      <c r="AE152" s="16">
        <f t="shared" si="195"/>
        <v>0</v>
      </c>
      <c r="AF152" s="39">
        <f t="shared" si="196"/>
        <v>0</v>
      </c>
      <c r="AG152" s="16">
        <f t="shared" si="197"/>
        <v>0</v>
      </c>
      <c r="AH152" s="39">
        <f t="shared" si="198"/>
        <v>0</v>
      </c>
      <c r="AI152" s="31">
        <f t="shared" si="199"/>
        <v>2.1447468107158585E-2</v>
      </c>
      <c r="AJ152" s="13">
        <f t="shared" si="200"/>
        <v>1.6938760275241993E-2</v>
      </c>
    </row>
    <row r="153" spans="1:36" x14ac:dyDescent="0.25">
      <c r="A153" s="29">
        <v>45139</v>
      </c>
      <c r="B153" s="12">
        <v>3.6027787283110502E-4</v>
      </c>
      <c r="C153" s="7">
        <v>1.14E-2</v>
      </c>
      <c r="D153" s="7">
        <v>5.5282498395157198E-3</v>
      </c>
      <c r="E153" s="13">
        <v>-5.0851627399686697E-2</v>
      </c>
      <c r="F153" s="31">
        <f t="shared" si="178"/>
        <v>1.0003602778728311</v>
      </c>
      <c r="G153" s="7">
        <f t="shared" si="178"/>
        <v>1.0114000000000001</v>
      </c>
      <c r="H153" s="7">
        <f t="shared" si="178"/>
        <v>1.0055282498395157</v>
      </c>
      <c r="I153" s="13">
        <f t="shared" si="178"/>
        <v>0.94914837260031326</v>
      </c>
      <c r="J153" s="31">
        <f t="shared" si="201"/>
        <v>2.6343563751325645</v>
      </c>
      <c r="K153" s="7">
        <f>MAX($J$2:J153)</f>
        <v>2.920075113696702</v>
      </c>
      <c r="L153" s="13">
        <f t="shared" si="179"/>
        <v>-9.7846366082832939E-2</v>
      </c>
      <c r="M153" s="12">
        <f t="shared" si="202"/>
        <v>8.1949330071927875</v>
      </c>
      <c r="N153" s="7">
        <f>MAX($M$2:M153)</f>
        <v>9.9490339673748434</v>
      </c>
      <c r="O153" s="39">
        <f t="shared" si="180"/>
        <v>-0.17630867136790906</v>
      </c>
      <c r="P153" s="31">
        <f t="shared" si="181"/>
        <v>3.6027787283110502E-4</v>
      </c>
      <c r="Q153" s="13" t="str">
        <f t="shared" si="182"/>
        <v xml:space="preserve"> </v>
      </c>
      <c r="R153" s="31">
        <f t="shared" si="183"/>
        <v>5.5282498395157198E-3</v>
      </c>
      <c r="S153" s="39" t="str">
        <f t="shared" si="184"/>
        <v xml:space="preserve"> </v>
      </c>
      <c r="T153" s="31">
        <f t="shared" si="185"/>
        <v>-1.1039722127168895E-2</v>
      </c>
      <c r="U153" s="39">
        <f t="shared" si="186"/>
        <v>-5.8717501604842806E-3</v>
      </c>
      <c r="V153" s="17">
        <f t="shared" si="187"/>
        <v>-6.2251627399686697E-2</v>
      </c>
      <c r="W153" s="31">
        <f t="shared" si="188"/>
        <v>-1.1039722127168895E-2</v>
      </c>
      <c r="X153" s="39">
        <f t="shared" si="189"/>
        <v>1.2187546464510251E-4</v>
      </c>
      <c r="Y153" s="16">
        <f t="shared" si="190"/>
        <v>-5.8717501604842806E-3</v>
      </c>
      <c r="Z153" s="39">
        <f t="shared" si="189"/>
        <v>3.4477449947147177E-5</v>
      </c>
      <c r="AA153" s="16">
        <f t="shared" si="191"/>
        <v>-6.2251627399686697E-2</v>
      </c>
      <c r="AB153" s="13">
        <f t="shared" ref="AB153" si="224">AA153^2</f>
        <v>3.8752651139094237E-3</v>
      </c>
      <c r="AC153" s="33">
        <f t="shared" si="193"/>
        <v>0</v>
      </c>
      <c r="AD153" s="39">
        <f t="shared" si="194"/>
        <v>0</v>
      </c>
      <c r="AE153" s="16">
        <f t="shared" si="195"/>
        <v>0</v>
      </c>
      <c r="AF153" s="39">
        <f t="shared" si="196"/>
        <v>0</v>
      </c>
      <c r="AG153" s="16">
        <f t="shared" si="197"/>
        <v>-5.0851627399686697E-2</v>
      </c>
      <c r="AH153" s="39">
        <f t="shared" si="198"/>
        <v>2.5858880091965668E-3</v>
      </c>
      <c r="AI153" s="31">
        <f t="shared" si="199"/>
        <v>-5.1679719666846147E-3</v>
      </c>
      <c r="AJ153" s="13">
        <f t="shared" si="200"/>
        <v>-5.6379877239202458E-2</v>
      </c>
    </row>
    <row r="154" spans="1:36" x14ac:dyDescent="0.25">
      <c r="A154" s="29">
        <v>45170</v>
      </c>
      <c r="B154" s="12">
        <v>-2.5517366288746599E-2</v>
      </c>
      <c r="C154" s="7">
        <v>9.7000000000000402E-3</v>
      </c>
      <c r="D154" s="7">
        <v>-1.8665964650299301E-2</v>
      </c>
      <c r="E154" s="13">
        <v>7.1106426362081898E-3</v>
      </c>
      <c r="F154" s="31">
        <f t="shared" si="178"/>
        <v>0.97448263371125343</v>
      </c>
      <c r="G154" s="7">
        <f t="shared" si="178"/>
        <v>1.0097</v>
      </c>
      <c r="H154" s="7">
        <f t="shared" si="178"/>
        <v>0.98133403534970065</v>
      </c>
      <c r="I154" s="13">
        <f t="shared" si="178"/>
        <v>1.0071106426362082</v>
      </c>
      <c r="J154" s="31">
        <f t="shared" si="201"/>
        <v>2.5671345385732121</v>
      </c>
      <c r="K154" s="7">
        <f>MAX($J$2:J154)</f>
        <v>2.920075113696702</v>
      </c>
      <c r="L154" s="13">
        <f t="shared" si="179"/>
        <v>-0.12086695080822112</v>
      </c>
      <c r="M154" s="12">
        <f t="shared" si="202"/>
        <v>8.041966677368956</v>
      </c>
      <c r="N154" s="7">
        <f>MAX($M$2:M154)</f>
        <v>9.9490339673748434</v>
      </c>
      <c r="O154" s="39">
        <f t="shared" si="180"/>
        <v>-0.19168366459091374</v>
      </c>
      <c r="P154" s="31" t="str">
        <f t="shared" si="181"/>
        <v xml:space="preserve"> </v>
      </c>
      <c r="Q154" s="13">
        <f t="shared" si="182"/>
        <v>-2.5517366288746599E-2</v>
      </c>
      <c r="R154" s="31" t="str">
        <f t="shared" si="183"/>
        <v xml:space="preserve"> </v>
      </c>
      <c r="S154" s="39">
        <f t="shared" si="184"/>
        <v>-1.8665964650299301E-2</v>
      </c>
      <c r="T154" s="31">
        <f t="shared" si="185"/>
        <v>-3.5217366288746638E-2</v>
      </c>
      <c r="U154" s="39">
        <f t="shared" si="186"/>
        <v>-2.8365964650299343E-2</v>
      </c>
      <c r="V154" s="17">
        <f t="shared" si="187"/>
        <v>-2.5893573637918504E-3</v>
      </c>
      <c r="W154" s="31">
        <f t="shared" si="188"/>
        <v>-3.5217366288746638E-2</v>
      </c>
      <c r="X154" s="39">
        <f t="shared" si="189"/>
        <v>1.2402628883157482E-3</v>
      </c>
      <c r="Y154" s="16">
        <f t="shared" si="190"/>
        <v>-2.8365964650299343E-2</v>
      </c>
      <c r="Z154" s="39">
        <f t="shared" si="189"/>
        <v>8.0462795054203195E-4</v>
      </c>
      <c r="AA154" s="16">
        <f t="shared" si="191"/>
        <v>-2.5893573637918504E-3</v>
      </c>
      <c r="AB154" s="13">
        <f t="shared" ref="AB154" si="225">AA154^2</f>
        <v>6.7047715574230809E-6</v>
      </c>
      <c r="AC154" s="33">
        <f t="shared" si="193"/>
        <v>-2.5517366288746599E-2</v>
      </c>
      <c r="AD154" s="39">
        <f t="shared" si="194"/>
        <v>6.5113598231406142E-4</v>
      </c>
      <c r="AE154" s="16">
        <f t="shared" si="195"/>
        <v>-1.8665964650299301E-2</v>
      </c>
      <c r="AF154" s="39">
        <f t="shared" si="196"/>
        <v>3.484182363262231E-4</v>
      </c>
      <c r="AG154" s="16">
        <f t="shared" si="197"/>
        <v>0</v>
      </c>
      <c r="AH154" s="39">
        <f t="shared" si="198"/>
        <v>0</v>
      </c>
      <c r="AI154" s="31">
        <f t="shared" si="199"/>
        <v>-6.8514016384472187E-3</v>
      </c>
      <c r="AJ154" s="13">
        <f t="shared" si="200"/>
        <v>2.5776607286507547E-2</v>
      </c>
    </row>
    <row r="155" spans="1:36" x14ac:dyDescent="0.25">
      <c r="A155" s="29">
        <v>45200</v>
      </c>
      <c r="B155" s="12">
        <v>-4.0825514933976903E-2</v>
      </c>
      <c r="C155" s="7">
        <v>0.01</v>
      </c>
      <c r="D155" s="7">
        <v>-2.2260240071553201E-2</v>
      </c>
      <c r="E155" s="13">
        <v>-2.93484322052074E-2</v>
      </c>
      <c r="F155" s="31">
        <f t="shared" si="178"/>
        <v>0.9591744850660231</v>
      </c>
      <c r="G155" s="7">
        <f t="shared" si="178"/>
        <v>1.01</v>
      </c>
      <c r="H155" s="7">
        <f t="shared" si="178"/>
        <v>0.97773975992844675</v>
      </c>
      <c r="I155" s="13">
        <f t="shared" si="178"/>
        <v>0.97065156779479256</v>
      </c>
      <c r="J155" s="31">
        <f t="shared" si="201"/>
        <v>2.4623299491311634</v>
      </c>
      <c r="K155" s="7">
        <f>MAX($J$2:J155)</f>
        <v>2.920075113696702</v>
      </c>
      <c r="L155" s="13">
        <f t="shared" si="179"/>
        <v>-0.15675801023695277</v>
      </c>
      <c r="M155" s="12">
        <f t="shared" si="202"/>
        <v>7.8629505684832912</v>
      </c>
      <c r="N155" s="7">
        <f>MAX($M$2:M155)</f>
        <v>9.9490339673748434</v>
      </c>
      <c r="O155" s="39">
        <f t="shared" si="180"/>
        <v>-0.20967698027087819</v>
      </c>
      <c r="P155" s="31" t="str">
        <f t="shared" si="181"/>
        <v xml:space="preserve"> </v>
      </c>
      <c r="Q155" s="13">
        <f t="shared" si="182"/>
        <v>-4.0825514933976903E-2</v>
      </c>
      <c r="R155" s="31" t="str">
        <f t="shared" si="183"/>
        <v xml:space="preserve"> </v>
      </c>
      <c r="S155" s="39">
        <f t="shared" si="184"/>
        <v>-2.2260240071553201E-2</v>
      </c>
      <c r="T155" s="31">
        <f t="shared" si="185"/>
        <v>-5.0825514933976905E-2</v>
      </c>
      <c r="U155" s="39">
        <f t="shared" si="186"/>
        <v>-3.2260240071553203E-2</v>
      </c>
      <c r="V155" s="17">
        <f t="shared" si="187"/>
        <v>-3.9348432205207402E-2</v>
      </c>
      <c r="W155" s="31">
        <f t="shared" si="188"/>
        <v>-5.0825514933976905E-2</v>
      </c>
      <c r="X155" s="39">
        <f t="shared" si="189"/>
        <v>2.5832329683039093E-3</v>
      </c>
      <c r="Y155" s="16">
        <f t="shared" si="190"/>
        <v>-3.2260240071553203E-2</v>
      </c>
      <c r="Z155" s="39">
        <f t="shared" si="189"/>
        <v>1.0407230894742469E-3</v>
      </c>
      <c r="AA155" s="16">
        <f t="shared" si="191"/>
        <v>-3.9348432205207402E-2</v>
      </c>
      <c r="AB155" s="13">
        <f t="shared" ref="AB155" si="226">AA155^2</f>
        <v>1.5482991170078031E-3</v>
      </c>
      <c r="AC155" s="33">
        <f t="shared" si="193"/>
        <v>-4.0825514933976903E-2</v>
      </c>
      <c r="AD155" s="39">
        <f t="shared" si="194"/>
        <v>1.6667226696243712E-3</v>
      </c>
      <c r="AE155" s="16">
        <f t="shared" si="195"/>
        <v>-2.2260240071553201E-2</v>
      </c>
      <c r="AF155" s="39">
        <f t="shared" si="196"/>
        <v>4.9551828804318286E-4</v>
      </c>
      <c r="AG155" s="16">
        <f t="shared" si="197"/>
        <v>-2.93484322052074E-2</v>
      </c>
      <c r="AH155" s="39">
        <f t="shared" si="198"/>
        <v>8.6133047290365492E-4</v>
      </c>
      <c r="AI155" s="31">
        <f t="shared" si="199"/>
        <v>-1.8565274862423653E-2</v>
      </c>
      <c r="AJ155" s="13">
        <f t="shared" si="200"/>
        <v>-7.088192133654192E-3</v>
      </c>
    </row>
    <row r="156" spans="1:36" x14ac:dyDescent="0.25">
      <c r="A156" s="29">
        <v>45231</v>
      </c>
      <c r="B156" s="12">
        <v>7.0942380316926401E-2</v>
      </c>
      <c r="C156" s="7">
        <v>9.2000000000000901E-3</v>
      </c>
      <c r="D156" s="7">
        <v>5.9419084392828801E-2</v>
      </c>
      <c r="E156" s="13">
        <v>0.12538888496075801</v>
      </c>
      <c r="F156" s="31">
        <f t="shared" si="178"/>
        <v>1.0709423803169265</v>
      </c>
      <c r="G156" s="7">
        <f t="shared" si="178"/>
        <v>1.0092000000000001</v>
      </c>
      <c r="H156" s="7">
        <f t="shared" si="178"/>
        <v>1.0594190843928288</v>
      </c>
      <c r="I156" s="13">
        <f t="shared" si="178"/>
        <v>1.1253888849607581</v>
      </c>
      <c r="J156" s="31">
        <f t="shared" si="201"/>
        <v>2.6370134968481844</v>
      </c>
      <c r="K156" s="7">
        <f>MAX($J$2:J156)</f>
        <v>2.920075113696702</v>
      </c>
      <c r="L156" s="13">
        <f t="shared" si="179"/>
        <v>-9.6936416299980913E-2</v>
      </c>
      <c r="M156" s="12">
        <f t="shared" si="202"/>
        <v>8.3301598918886413</v>
      </c>
      <c r="N156" s="7">
        <f>MAX($M$2:M156)</f>
        <v>9.9490339673748434</v>
      </c>
      <c r="O156" s="39">
        <f t="shared" si="180"/>
        <v>-0.16271671006399821</v>
      </c>
      <c r="P156" s="31">
        <f t="shared" si="181"/>
        <v>7.0942380316926401E-2</v>
      </c>
      <c r="Q156" s="13" t="str">
        <f t="shared" si="182"/>
        <v xml:space="preserve"> </v>
      </c>
      <c r="R156" s="31">
        <f t="shared" si="183"/>
        <v>5.9419084392828801E-2</v>
      </c>
      <c r="S156" s="39" t="str">
        <f t="shared" si="184"/>
        <v xml:space="preserve"> </v>
      </c>
      <c r="T156" s="31">
        <f t="shared" si="185"/>
        <v>6.1742380316926311E-2</v>
      </c>
      <c r="U156" s="39">
        <f t="shared" si="186"/>
        <v>5.0219084392828711E-2</v>
      </c>
      <c r="V156" s="17">
        <f t="shared" si="187"/>
        <v>0.11618888496075791</v>
      </c>
      <c r="W156" s="31">
        <f t="shared" si="188"/>
        <v>0</v>
      </c>
      <c r="X156" s="39">
        <f t="shared" si="189"/>
        <v>0</v>
      </c>
      <c r="Y156" s="16">
        <f t="shared" si="190"/>
        <v>0</v>
      </c>
      <c r="Z156" s="39">
        <f t="shared" si="189"/>
        <v>0</v>
      </c>
      <c r="AA156" s="16">
        <f t="shared" si="191"/>
        <v>0</v>
      </c>
      <c r="AB156" s="13">
        <f t="shared" ref="AB156" si="227">AA156^2</f>
        <v>0</v>
      </c>
      <c r="AC156" s="33">
        <f t="shared" si="193"/>
        <v>0</v>
      </c>
      <c r="AD156" s="39">
        <f t="shared" si="194"/>
        <v>0</v>
      </c>
      <c r="AE156" s="16">
        <f t="shared" si="195"/>
        <v>0</v>
      </c>
      <c r="AF156" s="39">
        <f t="shared" si="196"/>
        <v>0</v>
      </c>
      <c r="AG156" s="16">
        <f t="shared" si="197"/>
        <v>0</v>
      </c>
      <c r="AH156" s="39">
        <f t="shared" si="198"/>
        <v>0</v>
      </c>
      <c r="AI156" s="31">
        <f t="shared" si="199"/>
        <v>1.1523295924097621E-2</v>
      </c>
      <c r="AJ156" s="13">
        <f t="shared" si="200"/>
        <v>6.5969800567929227E-2</v>
      </c>
    </row>
    <row r="157" spans="1:36" x14ac:dyDescent="0.25">
      <c r="A157" s="29">
        <v>45261</v>
      </c>
      <c r="B157" s="12">
        <v>5.4398519289960499E-2</v>
      </c>
      <c r="C157" s="7">
        <v>8.8999999999998993E-3</v>
      </c>
      <c r="D157" s="7">
        <v>2.94415461347232E-2</v>
      </c>
      <c r="E157" s="13">
        <v>5.3828211511729201E-2</v>
      </c>
      <c r="F157" s="31">
        <f t="shared" si="178"/>
        <v>1.0543985192899605</v>
      </c>
      <c r="G157" s="7">
        <f t="shared" si="178"/>
        <v>1.0088999999999999</v>
      </c>
      <c r="H157" s="7">
        <f t="shared" si="178"/>
        <v>1.0294415461347233</v>
      </c>
      <c r="I157" s="13">
        <f t="shared" si="178"/>
        <v>1.0538282115117292</v>
      </c>
      <c r="J157" s="31">
        <f t="shared" si="201"/>
        <v>2.7804631264243667</v>
      </c>
      <c r="K157" s="7">
        <f>MAX($J$2:J157)</f>
        <v>2.920075113696702</v>
      </c>
      <c r="L157" s="13">
        <f t="shared" si="179"/>
        <v>-4.7811094522014541E-2</v>
      </c>
      <c r="M157" s="12">
        <f t="shared" si="202"/>
        <v>8.5754126786553027</v>
      </c>
      <c r="N157" s="7">
        <f>MAX($M$2:M157)</f>
        <v>9.9490339673748434</v>
      </c>
      <c r="O157" s="39">
        <f t="shared" si="180"/>
        <v>-0.13806579545551448</v>
      </c>
      <c r="P157" s="31">
        <f t="shared" si="181"/>
        <v>5.4398519289960499E-2</v>
      </c>
      <c r="Q157" s="13" t="str">
        <f t="shared" si="182"/>
        <v xml:space="preserve"> </v>
      </c>
      <c r="R157" s="31">
        <f t="shared" si="183"/>
        <v>2.94415461347232E-2</v>
      </c>
      <c r="S157" s="39" t="str">
        <f t="shared" si="184"/>
        <v xml:space="preserve"> </v>
      </c>
      <c r="T157" s="31">
        <f t="shared" si="185"/>
        <v>4.5498519289960598E-2</v>
      </c>
      <c r="U157" s="39">
        <f t="shared" si="186"/>
        <v>2.0541546134723303E-2</v>
      </c>
      <c r="V157" s="17">
        <f t="shared" si="187"/>
        <v>4.49282115117293E-2</v>
      </c>
      <c r="W157" s="31">
        <f t="shared" si="188"/>
        <v>0</v>
      </c>
      <c r="X157" s="39">
        <f t="shared" si="189"/>
        <v>0</v>
      </c>
      <c r="Y157" s="16">
        <f t="shared" si="190"/>
        <v>0</v>
      </c>
      <c r="Z157" s="39">
        <f t="shared" si="189"/>
        <v>0</v>
      </c>
      <c r="AA157" s="16">
        <f t="shared" si="191"/>
        <v>0</v>
      </c>
      <c r="AB157" s="13">
        <f t="shared" ref="AB157" si="228">AA157^2</f>
        <v>0</v>
      </c>
      <c r="AC157" s="33">
        <f t="shared" si="193"/>
        <v>0</v>
      </c>
      <c r="AD157" s="39">
        <f t="shared" si="194"/>
        <v>0</v>
      </c>
      <c r="AE157" s="16">
        <f t="shared" si="195"/>
        <v>0</v>
      </c>
      <c r="AF157" s="39">
        <f t="shared" si="196"/>
        <v>0</v>
      </c>
      <c r="AG157" s="16">
        <f t="shared" si="197"/>
        <v>0</v>
      </c>
      <c r="AH157" s="39">
        <f t="shared" si="198"/>
        <v>0</v>
      </c>
      <c r="AI157" s="31">
        <f t="shared" si="199"/>
        <v>2.4956973155237261E-2</v>
      </c>
      <c r="AJ157" s="13">
        <f t="shared" si="200"/>
        <v>2.4386665377005956E-2</v>
      </c>
    </row>
    <row r="158" spans="1:36" x14ac:dyDescent="0.25">
      <c r="A158" s="29">
        <v>45292</v>
      </c>
      <c r="B158" s="12">
        <v>1.4136673240136E-2</v>
      </c>
      <c r="C158" s="7">
        <v>9.7000000000000402E-3</v>
      </c>
      <c r="D158" s="7">
        <v>3.11238620619298E-2</v>
      </c>
      <c r="E158" s="13">
        <v>-4.7941275105265101E-2</v>
      </c>
      <c r="F158" s="31">
        <f t="shared" si="178"/>
        <v>1.014136673240136</v>
      </c>
      <c r="G158" s="7">
        <f t="shared" si="178"/>
        <v>1.0097</v>
      </c>
      <c r="H158" s="7">
        <f t="shared" si="178"/>
        <v>1.0311238620619299</v>
      </c>
      <c r="I158" s="13">
        <f t="shared" si="178"/>
        <v>0.95205872489473486</v>
      </c>
      <c r="J158" s="31">
        <f t="shared" si="201"/>
        <v>2.8197696250988749</v>
      </c>
      <c r="K158" s="7">
        <f>MAX($J$2:J158)</f>
        <v>2.920075113696702</v>
      </c>
      <c r="L158" s="13">
        <f t="shared" si="179"/>
        <v>-3.4350311102389522E-2</v>
      </c>
      <c r="M158" s="12">
        <f t="shared" si="202"/>
        <v>8.8423126399898955</v>
      </c>
      <c r="N158" s="7">
        <f>MAX($M$2:M158)</f>
        <v>9.9490339673748434</v>
      </c>
      <c r="O158" s="39">
        <f t="shared" si="180"/>
        <v>-0.11123907416681258</v>
      </c>
      <c r="P158" s="31">
        <f t="shared" si="181"/>
        <v>1.4136673240136E-2</v>
      </c>
      <c r="Q158" s="13" t="str">
        <f t="shared" si="182"/>
        <v xml:space="preserve"> </v>
      </c>
      <c r="R158" s="31">
        <f t="shared" si="183"/>
        <v>3.11238620619298E-2</v>
      </c>
      <c r="S158" s="39" t="str">
        <f t="shared" si="184"/>
        <v xml:space="preserve"> </v>
      </c>
      <c r="T158" s="31">
        <f t="shared" si="185"/>
        <v>4.4366732401359601E-3</v>
      </c>
      <c r="U158" s="39">
        <f t="shared" si="186"/>
        <v>2.1423862061929762E-2</v>
      </c>
      <c r="V158" s="17">
        <f t="shared" si="187"/>
        <v>-5.7641275105265143E-2</v>
      </c>
      <c r="W158" s="31">
        <f t="shared" si="188"/>
        <v>0</v>
      </c>
      <c r="X158" s="39">
        <f t="shared" si="189"/>
        <v>0</v>
      </c>
      <c r="Y158" s="16">
        <f t="shared" si="190"/>
        <v>0</v>
      </c>
      <c r="Z158" s="39">
        <f t="shared" si="189"/>
        <v>0</v>
      </c>
      <c r="AA158" s="16">
        <f t="shared" si="191"/>
        <v>-5.7641275105265143E-2</v>
      </c>
      <c r="AB158" s="13">
        <f t="shared" ref="AB158" si="229">AA158^2</f>
        <v>3.3225165957608592E-3</v>
      </c>
      <c r="AC158" s="33">
        <f t="shared" si="193"/>
        <v>0</v>
      </c>
      <c r="AD158" s="39">
        <f t="shared" si="194"/>
        <v>0</v>
      </c>
      <c r="AE158" s="16">
        <f t="shared" si="195"/>
        <v>0</v>
      </c>
      <c r="AF158" s="39">
        <f t="shared" si="196"/>
        <v>0</v>
      </c>
      <c r="AG158" s="16">
        <f t="shared" si="197"/>
        <v>-4.7941275105265101E-2</v>
      </c>
      <c r="AH158" s="39">
        <f t="shared" si="198"/>
        <v>2.2983658587187113E-3</v>
      </c>
      <c r="AI158" s="31">
        <f t="shared" si="199"/>
        <v>-1.6987188821793842E-2</v>
      </c>
      <c r="AJ158" s="13">
        <f t="shared" si="200"/>
        <v>-7.9065137167194988E-2</v>
      </c>
    </row>
    <row r="159" spans="1:36" x14ac:dyDescent="0.25">
      <c r="A159" s="29">
        <v>45323</v>
      </c>
      <c r="B159" s="12">
        <v>3.10043452881818E-2</v>
      </c>
      <c r="C159" s="7">
        <v>8.0000000000000002E-3</v>
      </c>
      <c r="D159" s="7">
        <v>4.8495006377252403E-2</v>
      </c>
      <c r="E159" s="13">
        <v>9.9254806186987992E-3</v>
      </c>
      <c r="F159" s="31">
        <f t="shared" si="178"/>
        <v>1.0310043452881819</v>
      </c>
      <c r="G159" s="7">
        <f t="shared" si="178"/>
        <v>1.008</v>
      </c>
      <c r="H159" s="7">
        <f t="shared" si="178"/>
        <v>1.0484950063772525</v>
      </c>
      <c r="I159" s="13">
        <f t="shared" si="178"/>
        <v>1.0099254806186988</v>
      </c>
      <c r="J159" s="31">
        <f t="shared" si="201"/>
        <v>2.9071947361885675</v>
      </c>
      <c r="K159" s="7">
        <f>MAX($J$2:J159)</f>
        <v>2.920075113696702</v>
      </c>
      <c r="L159" s="13">
        <f t="shared" si="179"/>
        <v>-4.4109747203826119E-3</v>
      </c>
      <c r="M159" s="12">
        <f t="shared" si="202"/>
        <v>9.2711206478558648</v>
      </c>
      <c r="N159" s="7">
        <f>MAX($M$2:M159)</f>
        <v>9.9490339673748434</v>
      </c>
      <c r="O159" s="39">
        <f t="shared" si="180"/>
        <v>-6.8138607400679438E-2</v>
      </c>
      <c r="P159" s="31">
        <f t="shared" si="181"/>
        <v>3.10043452881818E-2</v>
      </c>
      <c r="Q159" s="13" t="str">
        <f t="shared" si="182"/>
        <v xml:space="preserve"> </v>
      </c>
      <c r="R159" s="31">
        <f t="shared" si="183"/>
        <v>4.8495006377252403E-2</v>
      </c>
      <c r="S159" s="39" t="str">
        <f t="shared" si="184"/>
        <v xml:space="preserve"> </v>
      </c>
      <c r="T159" s="31">
        <f t="shared" si="185"/>
        <v>2.30043452881818E-2</v>
      </c>
      <c r="U159" s="39">
        <f t="shared" si="186"/>
        <v>4.0495006377252403E-2</v>
      </c>
      <c r="V159" s="17">
        <f t="shared" si="187"/>
        <v>1.925480618698799E-3</v>
      </c>
      <c r="W159" s="31">
        <f t="shared" si="188"/>
        <v>0</v>
      </c>
      <c r="X159" s="39">
        <f t="shared" si="189"/>
        <v>0</v>
      </c>
      <c r="Y159" s="16">
        <f t="shared" si="190"/>
        <v>0</v>
      </c>
      <c r="Z159" s="39">
        <f t="shared" si="189"/>
        <v>0</v>
      </c>
      <c r="AA159" s="16">
        <f t="shared" si="191"/>
        <v>0</v>
      </c>
      <c r="AB159" s="13">
        <f t="shared" ref="AB159" si="230">AA159^2</f>
        <v>0</v>
      </c>
      <c r="AC159" s="33">
        <f t="shared" si="193"/>
        <v>0</v>
      </c>
      <c r="AD159" s="39">
        <f t="shared" si="194"/>
        <v>0</v>
      </c>
      <c r="AE159" s="16">
        <f t="shared" si="195"/>
        <v>0</v>
      </c>
      <c r="AF159" s="39">
        <f t="shared" si="196"/>
        <v>0</v>
      </c>
      <c r="AG159" s="16">
        <f t="shared" si="197"/>
        <v>0</v>
      </c>
      <c r="AH159" s="39">
        <f t="shared" si="198"/>
        <v>0</v>
      </c>
      <c r="AI159" s="31">
        <f t="shared" si="199"/>
        <v>-1.7490661089070603E-2</v>
      </c>
      <c r="AJ159" s="13">
        <f t="shared" si="200"/>
        <v>-3.8569525758553658E-2</v>
      </c>
    </row>
    <row r="160" spans="1:36" x14ac:dyDescent="0.25">
      <c r="A160" s="29">
        <v>45352</v>
      </c>
      <c r="B160" s="12">
        <v>2.1777378206679399E-2</v>
      </c>
      <c r="C160" s="7">
        <v>8.2999999999999706E-3</v>
      </c>
      <c r="D160" s="7">
        <v>3.74052638671706E-2</v>
      </c>
      <c r="E160" s="13">
        <v>-7.0841729964347096E-3</v>
      </c>
      <c r="F160" s="31">
        <f t="shared" si="178"/>
        <v>1.0217773782066795</v>
      </c>
      <c r="G160" s="7">
        <f t="shared" si="178"/>
        <v>1.0083</v>
      </c>
      <c r="H160" s="7">
        <f t="shared" si="178"/>
        <v>1.0374052638671707</v>
      </c>
      <c r="I160" s="13">
        <f t="shared" si="178"/>
        <v>0.99291582700356529</v>
      </c>
      <c r="J160" s="31">
        <f t="shared" si="201"/>
        <v>2.9705058154790138</v>
      </c>
      <c r="K160" s="7">
        <f>MAX($J$2:J160)</f>
        <v>2.9705058154790138</v>
      </c>
      <c r="L160" s="13">
        <f t="shared" si="179"/>
        <v>0</v>
      </c>
      <c r="M160" s="12">
        <f t="shared" si="202"/>
        <v>9.6179093620332878</v>
      </c>
      <c r="N160" s="7">
        <f>MAX($M$2:M160)</f>
        <v>9.9490339673748434</v>
      </c>
      <c r="O160" s="39">
        <f t="shared" si="180"/>
        <v>-3.3282086122872714E-2</v>
      </c>
      <c r="P160" s="31">
        <f t="shared" si="181"/>
        <v>2.1777378206679399E-2</v>
      </c>
      <c r="Q160" s="13" t="str">
        <f t="shared" si="182"/>
        <v xml:space="preserve"> </v>
      </c>
      <c r="R160" s="31">
        <f t="shared" si="183"/>
        <v>3.74052638671706E-2</v>
      </c>
      <c r="S160" s="39" t="str">
        <f t="shared" si="184"/>
        <v xml:space="preserve"> </v>
      </c>
      <c r="T160" s="31">
        <f t="shared" si="185"/>
        <v>1.3477378206679429E-2</v>
      </c>
      <c r="U160" s="39">
        <f t="shared" si="186"/>
        <v>2.910526386717063E-2</v>
      </c>
      <c r="V160" s="17">
        <f t="shared" si="187"/>
        <v>-1.5384172996434679E-2</v>
      </c>
      <c r="W160" s="31">
        <f t="shared" si="188"/>
        <v>0</v>
      </c>
      <c r="X160" s="39">
        <f t="shared" si="189"/>
        <v>0</v>
      </c>
      <c r="Y160" s="16">
        <f t="shared" si="190"/>
        <v>0</v>
      </c>
      <c r="Z160" s="39">
        <f t="shared" si="189"/>
        <v>0</v>
      </c>
      <c r="AA160" s="16">
        <f t="shared" si="191"/>
        <v>-1.5384172996434679E-2</v>
      </c>
      <c r="AB160" s="13">
        <f t="shared" ref="AB160" si="231">AA160^2</f>
        <v>2.3667277878422998E-4</v>
      </c>
      <c r="AC160" s="33">
        <f t="shared" si="193"/>
        <v>0</v>
      </c>
      <c r="AD160" s="39">
        <f t="shared" si="194"/>
        <v>0</v>
      </c>
      <c r="AE160" s="16">
        <f t="shared" si="195"/>
        <v>0</v>
      </c>
      <c r="AF160" s="39">
        <f t="shared" si="196"/>
        <v>0</v>
      </c>
      <c r="AG160" s="16">
        <f t="shared" si="197"/>
        <v>-7.0841729964347096E-3</v>
      </c>
      <c r="AH160" s="39">
        <f t="shared" si="198"/>
        <v>5.018550704341473E-5</v>
      </c>
      <c r="AI160" s="31">
        <f t="shared" si="199"/>
        <v>-1.5627885660491225E-2</v>
      </c>
      <c r="AJ160" s="13">
        <f t="shared" si="200"/>
        <v>-4.4489436863605403E-2</v>
      </c>
    </row>
    <row r="161" spans="1:36" x14ac:dyDescent="0.25">
      <c r="A161" s="29">
        <v>45383</v>
      </c>
      <c r="B161" s="12">
        <v>4.1777128715987299E-3</v>
      </c>
      <c r="C161" s="7">
        <v>8.8999999999998993E-3</v>
      </c>
      <c r="D161" s="7">
        <v>-1.2059260267895699E-2</v>
      </c>
      <c r="E161" s="13">
        <v>-1.7032769737561002E-2</v>
      </c>
      <c r="F161" s="31">
        <f t="shared" si="178"/>
        <v>1.0041777128715987</v>
      </c>
      <c r="G161" s="7">
        <f t="shared" si="178"/>
        <v>1.0088999999999999</v>
      </c>
      <c r="H161" s="7">
        <f t="shared" si="178"/>
        <v>0.98794073973210428</v>
      </c>
      <c r="I161" s="13">
        <f t="shared" si="178"/>
        <v>0.98296723026243904</v>
      </c>
      <c r="J161" s="31">
        <f t="shared" si="201"/>
        <v>2.9829157358594993</v>
      </c>
      <c r="K161" s="7">
        <f>MAX($J$2:J161)</f>
        <v>2.9829157358594993</v>
      </c>
      <c r="L161" s="13">
        <f t="shared" si="179"/>
        <v>0</v>
      </c>
      <c r="M161" s="12">
        <f t="shared" si="202"/>
        <v>9.501924489803498</v>
      </c>
      <c r="N161" s="7">
        <f>MAX($M$2:M161)</f>
        <v>9.9490339673748434</v>
      </c>
      <c r="O161" s="39">
        <f t="shared" si="180"/>
        <v>-4.4939989051954142E-2</v>
      </c>
      <c r="P161" s="31">
        <f t="shared" si="181"/>
        <v>4.1777128715987299E-3</v>
      </c>
      <c r="Q161" s="13" t="str">
        <f t="shared" si="182"/>
        <v xml:space="preserve"> </v>
      </c>
      <c r="R161" s="31" t="str">
        <f t="shared" si="183"/>
        <v xml:space="preserve"> </v>
      </c>
      <c r="S161" s="39">
        <f t="shared" si="184"/>
        <v>-1.2059260267895699E-2</v>
      </c>
      <c r="T161" s="31">
        <f t="shared" si="185"/>
        <v>-4.7222871284011694E-3</v>
      </c>
      <c r="U161" s="39">
        <f t="shared" si="186"/>
        <v>-2.0959260267895598E-2</v>
      </c>
      <c r="V161" s="17">
        <f t="shared" si="187"/>
        <v>-2.5932769737560903E-2</v>
      </c>
      <c r="W161" s="31">
        <f t="shared" si="188"/>
        <v>-4.7222871284011694E-3</v>
      </c>
      <c r="X161" s="39">
        <f t="shared" si="189"/>
        <v>2.2299995723063363E-5</v>
      </c>
      <c r="Y161" s="16">
        <f t="shared" si="190"/>
        <v>-2.0959260267895598E-2</v>
      </c>
      <c r="Z161" s="39">
        <f t="shared" si="189"/>
        <v>4.3929059097738709E-4</v>
      </c>
      <c r="AA161" s="16">
        <f t="shared" si="191"/>
        <v>-2.5932769737560903E-2</v>
      </c>
      <c r="AB161" s="13">
        <f t="shared" ref="AB161" si="232">AA161^2</f>
        <v>6.7250854626135456E-4</v>
      </c>
      <c r="AC161" s="33">
        <f t="shared" si="193"/>
        <v>0</v>
      </c>
      <c r="AD161" s="39">
        <f t="shared" si="194"/>
        <v>0</v>
      </c>
      <c r="AE161" s="16">
        <f t="shared" si="195"/>
        <v>-1.2059260267895699E-2</v>
      </c>
      <c r="AF161" s="39">
        <f t="shared" si="196"/>
        <v>1.4542575820884784E-4</v>
      </c>
      <c r="AG161" s="16">
        <f t="shared" si="197"/>
        <v>-1.7032769737561002E-2</v>
      </c>
      <c r="AH161" s="39">
        <f t="shared" si="198"/>
        <v>2.9011524493277385E-4</v>
      </c>
      <c r="AI161" s="31">
        <f t="shared" si="199"/>
        <v>1.6236973139494459E-2</v>
      </c>
      <c r="AJ161" s="13">
        <f t="shared" si="200"/>
        <v>-4.9735094696652382E-3</v>
      </c>
    </row>
    <row r="162" spans="1:36" x14ac:dyDescent="0.25">
      <c r="A162" s="29">
        <v>45413</v>
      </c>
      <c r="B162" s="12">
        <v>3.5812998423649899E-2</v>
      </c>
      <c r="C162" s="7">
        <v>8.2999999999999706E-3</v>
      </c>
      <c r="D162" s="7">
        <v>6.3387809728409003E-2</v>
      </c>
      <c r="E162" s="13">
        <v>-3.0383405863854299E-2</v>
      </c>
      <c r="F162" s="31">
        <f t="shared" si="178"/>
        <v>1.0358129984236499</v>
      </c>
      <c r="G162" s="7">
        <f t="shared" si="178"/>
        <v>1.0083</v>
      </c>
      <c r="H162" s="7">
        <f t="shared" si="178"/>
        <v>1.0633878097284091</v>
      </c>
      <c r="I162" s="13">
        <f t="shared" si="178"/>
        <v>0.96961659413614565</v>
      </c>
      <c r="J162" s="31">
        <f t="shared" si="201"/>
        <v>3.0897428924057162</v>
      </c>
      <c r="K162" s="7">
        <f>MAX($J$2:J162)</f>
        <v>3.0897428924057162</v>
      </c>
      <c r="L162" s="13">
        <f t="shared" si="179"/>
        <v>0</v>
      </c>
      <c r="M162" s="12">
        <f t="shared" si="202"/>
        <v>10.104230671416873</v>
      </c>
      <c r="N162" s="7">
        <f>MAX($M$2:M162)</f>
        <v>10.104230671416873</v>
      </c>
      <c r="O162" s="39">
        <f t="shared" si="180"/>
        <v>0</v>
      </c>
      <c r="P162" s="31">
        <f t="shared" si="181"/>
        <v>3.5812998423649899E-2</v>
      </c>
      <c r="Q162" s="13" t="str">
        <f t="shared" si="182"/>
        <v xml:space="preserve"> </v>
      </c>
      <c r="R162" s="31">
        <f t="shared" si="183"/>
        <v>6.3387809728409003E-2</v>
      </c>
      <c r="S162" s="39" t="str">
        <f t="shared" si="184"/>
        <v xml:space="preserve"> </v>
      </c>
      <c r="T162" s="31">
        <f t="shared" si="185"/>
        <v>2.7512998423649928E-2</v>
      </c>
      <c r="U162" s="39">
        <f t="shared" si="186"/>
        <v>5.5087809728409029E-2</v>
      </c>
      <c r="V162" s="17">
        <f t="shared" si="187"/>
        <v>-3.868340586385427E-2</v>
      </c>
      <c r="W162" s="31">
        <f t="shared" si="188"/>
        <v>0</v>
      </c>
      <c r="X162" s="39">
        <f t="shared" si="189"/>
        <v>0</v>
      </c>
      <c r="Y162" s="16">
        <f t="shared" si="190"/>
        <v>0</v>
      </c>
      <c r="Z162" s="39">
        <f t="shared" si="189"/>
        <v>0</v>
      </c>
      <c r="AA162" s="16">
        <f t="shared" si="191"/>
        <v>-3.868340586385427E-2</v>
      </c>
      <c r="AB162" s="13">
        <f t="shared" ref="AB162" si="233">AA162^2</f>
        <v>1.4964058892276749E-3</v>
      </c>
      <c r="AC162" s="33">
        <f t="shared" si="193"/>
        <v>0</v>
      </c>
      <c r="AD162" s="39">
        <f t="shared" si="194"/>
        <v>0</v>
      </c>
      <c r="AE162" s="16">
        <f t="shared" si="195"/>
        <v>0</v>
      </c>
      <c r="AF162" s="39">
        <f t="shared" si="196"/>
        <v>0</v>
      </c>
      <c r="AG162" s="16">
        <f t="shared" si="197"/>
        <v>-3.0383405863854299E-2</v>
      </c>
      <c r="AH162" s="39">
        <f t="shared" si="198"/>
        <v>9.2315135188769583E-4</v>
      </c>
      <c r="AI162" s="31">
        <f t="shared" si="199"/>
        <v>-2.7574811304759139E-2</v>
      </c>
      <c r="AJ162" s="13">
        <f t="shared" si="200"/>
        <v>-9.3771215592263424E-2</v>
      </c>
    </row>
    <row r="163" spans="1:36" x14ac:dyDescent="0.25">
      <c r="A163" s="29">
        <v>45444</v>
      </c>
      <c r="B163" s="12">
        <v>8.0536314922926303E-2</v>
      </c>
      <c r="C163" s="7">
        <v>7.9000000000000094E-3</v>
      </c>
      <c r="D163" s="7">
        <v>8.6448687592296E-2</v>
      </c>
      <c r="E163" s="13">
        <v>1.48159675015151E-2</v>
      </c>
      <c r="F163" s="31">
        <f t="shared" si="178"/>
        <v>1.0805363149229263</v>
      </c>
      <c r="G163" s="7">
        <f t="shared" si="178"/>
        <v>1.0079</v>
      </c>
      <c r="H163" s="7">
        <f t="shared" si="178"/>
        <v>1.0864486875922961</v>
      </c>
      <c r="I163" s="13">
        <f t="shared" si="178"/>
        <v>1.0148159675015151</v>
      </c>
      <c r="J163" s="31">
        <f t="shared" si="201"/>
        <v>3.3385793990193764</v>
      </c>
      <c r="K163" s="7">
        <f>MAX($J$2:J163)</f>
        <v>3.3385793990193764</v>
      </c>
      <c r="L163" s="13">
        <f t="shared" si="179"/>
        <v>0</v>
      </c>
      <c r="M163" s="12">
        <f t="shared" si="202"/>
        <v>10.977728152090688</v>
      </c>
      <c r="N163" s="7">
        <f>MAX($M$2:M163)</f>
        <v>10.977728152090688</v>
      </c>
      <c r="O163" s="39">
        <f t="shared" si="180"/>
        <v>0</v>
      </c>
      <c r="P163" s="31">
        <f t="shared" si="181"/>
        <v>8.0536314922926303E-2</v>
      </c>
      <c r="Q163" s="13" t="str">
        <f t="shared" si="182"/>
        <v xml:space="preserve"> </v>
      </c>
      <c r="R163" s="31">
        <f t="shared" si="183"/>
        <v>8.6448687592296E-2</v>
      </c>
      <c r="S163" s="39" t="str">
        <f t="shared" si="184"/>
        <v xml:space="preserve"> </v>
      </c>
      <c r="T163" s="31">
        <f t="shared" si="185"/>
        <v>7.2636314922926298E-2</v>
      </c>
      <c r="U163" s="39">
        <f t="shared" si="186"/>
        <v>7.8548687592295996E-2</v>
      </c>
      <c r="V163" s="17">
        <f t="shared" si="187"/>
        <v>6.9159675015150902E-3</v>
      </c>
      <c r="W163" s="31">
        <f t="shared" si="188"/>
        <v>0</v>
      </c>
      <c r="X163" s="39">
        <f t="shared" si="189"/>
        <v>0</v>
      </c>
      <c r="Y163" s="16">
        <f t="shared" si="190"/>
        <v>0</v>
      </c>
      <c r="Z163" s="39">
        <f t="shared" si="189"/>
        <v>0</v>
      </c>
      <c r="AA163" s="16">
        <f t="shared" si="191"/>
        <v>0</v>
      </c>
      <c r="AB163" s="13">
        <f t="shared" ref="AB163" si="234">AA163^2</f>
        <v>0</v>
      </c>
      <c r="AC163" s="33">
        <f t="shared" si="193"/>
        <v>0</v>
      </c>
      <c r="AD163" s="39">
        <f t="shared" si="194"/>
        <v>0</v>
      </c>
      <c r="AE163" s="16">
        <f t="shared" si="195"/>
        <v>0</v>
      </c>
      <c r="AF163" s="39">
        <f t="shared" si="196"/>
        <v>0</v>
      </c>
      <c r="AG163" s="16">
        <f t="shared" si="197"/>
        <v>0</v>
      </c>
      <c r="AH163" s="39">
        <f t="shared" si="198"/>
        <v>0</v>
      </c>
      <c r="AI163" s="31">
        <f t="shared" si="199"/>
        <v>-5.9123726693697254E-3</v>
      </c>
      <c r="AJ163" s="13">
        <f t="shared" si="200"/>
        <v>-7.1632720090780921E-2</v>
      </c>
    </row>
    <row r="164" spans="1:36" x14ac:dyDescent="0.25">
      <c r="A164" s="29">
        <v>45474</v>
      </c>
      <c r="B164" s="12">
        <v>4.8738521680856899E-2</v>
      </c>
      <c r="C164" s="7">
        <v>9.1000000000000993E-3</v>
      </c>
      <c r="D164" s="7">
        <v>2.85107732455256E-2</v>
      </c>
      <c r="E164" s="13">
        <v>3.0224281114061301E-2</v>
      </c>
      <c r="F164" s="31">
        <f t="shared" si="178"/>
        <v>1.0487385216808569</v>
      </c>
      <c r="G164" s="7">
        <f t="shared" si="178"/>
        <v>1.0091000000000001</v>
      </c>
      <c r="H164" s="7">
        <f t="shared" si="178"/>
        <v>1.0285107732455256</v>
      </c>
      <c r="I164" s="13">
        <f t="shared" si="178"/>
        <v>1.0302242811140614</v>
      </c>
      <c r="J164" s="31">
        <f t="shared" si="201"/>
        <v>3.5012968234417445</v>
      </c>
      <c r="K164" s="7">
        <f>MAX($J$2:J164)</f>
        <v>3.5012968234417445</v>
      </c>
      <c r="L164" s="13">
        <f t="shared" si="179"/>
        <v>0</v>
      </c>
      <c r="M164" s="12">
        <f t="shared" si="202"/>
        <v>11.290711670185969</v>
      </c>
      <c r="N164" s="7">
        <f>MAX($M$2:M164)</f>
        <v>11.290711670185969</v>
      </c>
      <c r="O164" s="39">
        <f t="shared" si="180"/>
        <v>0</v>
      </c>
      <c r="P164" s="31">
        <f t="shared" si="181"/>
        <v>4.8738521680856899E-2</v>
      </c>
      <c r="Q164" s="13" t="str">
        <f t="shared" si="182"/>
        <v xml:space="preserve"> </v>
      </c>
      <c r="R164" s="31">
        <f t="shared" si="183"/>
        <v>2.85107732455256E-2</v>
      </c>
      <c r="S164" s="39" t="str">
        <f t="shared" si="184"/>
        <v xml:space="preserve"> </v>
      </c>
      <c r="T164" s="31">
        <f t="shared" si="185"/>
        <v>3.9638521680856798E-2</v>
      </c>
      <c r="U164" s="39">
        <f t="shared" si="186"/>
        <v>1.9410773245525502E-2</v>
      </c>
      <c r="V164" s="17">
        <f t="shared" si="187"/>
        <v>2.11242811140612E-2</v>
      </c>
      <c r="W164" s="31">
        <f t="shared" si="188"/>
        <v>0</v>
      </c>
      <c r="X164" s="39">
        <f t="shared" si="189"/>
        <v>0</v>
      </c>
      <c r="Y164" s="16">
        <f t="shared" si="190"/>
        <v>0</v>
      </c>
      <c r="Z164" s="39">
        <f t="shared" si="189"/>
        <v>0</v>
      </c>
      <c r="AA164" s="16">
        <f t="shared" si="191"/>
        <v>0</v>
      </c>
      <c r="AB164" s="13">
        <f t="shared" ref="AB164" si="235">AA164^2</f>
        <v>0</v>
      </c>
      <c r="AC164" s="33">
        <f t="shared" si="193"/>
        <v>0</v>
      </c>
      <c r="AD164" s="39">
        <f t="shared" si="194"/>
        <v>0</v>
      </c>
      <c r="AE164" s="16">
        <f t="shared" si="195"/>
        <v>0</v>
      </c>
      <c r="AF164" s="39">
        <f t="shared" si="196"/>
        <v>0</v>
      </c>
      <c r="AG164" s="16">
        <f t="shared" si="197"/>
        <v>0</v>
      </c>
      <c r="AH164" s="39">
        <f t="shared" si="198"/>
        <v>0</v>
      </c>
      <c r="AI164" s="31">
        <f t="shared" si="199"/>
        <v>2.0227748435331261E-2</v>
      </c>
      <c r="AJ164" s="13">
        <f t="shared" si="200"/>
        <v>1.7135078685357463E-3</v>
      </c>
    </row>
    <row r="165" spans="1:36" x14ac:dyDescent="0.25">
      <c r="A165" s="29">
        <v>45505</v>
      </c>
      <c r="B165" s="12">
        <v>1.5064907632709099E-2</v>
      </c>
      <c r="C165" s="7">
        <v>8.69999999999993E-3</v>
      </c>
      <c r="D165" s="7">
        <v>2.29132452414821E-2</v>
      </c>
      <c r="E165" s="13">
        <v>6.5427882054335196E-2</v>
      </c>
      <c r="F165" s="31">
        <f t="shared" si="178"/>
        <v>1.0150649076327092</v>
      </c>
      <c r="G165" s="7">
        <f t="shared" si="178"/>
        <v>1.0086999999999999</v>
      </c>
      <c r="H165" s="7">
        <f t="shared" si="178"/>
        <v>1.0229132452414822</v>
      </c>
      <c r="I165" s="13">
        <f t="shared" si="178"/>
        <v>1.0654278820543353</v>
      </c>
      <c r="J165" s="31">
        <f t="shared" si="201"/>
        <v>3.5540435366815926</v>
      </c>
      <c r="K165" s="7">
        <f>MAX($J$2:J165)</f>
        <v>3.5540435366815926</v>
      </c>
      <c r="L165" s="13">
        <f t="shared" si="179"/>
        <v>0</v>
      </c>
      <c r="M165" s="12">
        <f t="shared" si="202"/>
        <v>11.549418515635805</v>
      </c>
      <c r="N165" s="7">
        <f>MAX($M$2:M165)</f>
        <v>11.549418515635805</v>
      </c>
      <c r="O165" s="39">
        <f t="shared" si="180"/>
        <v>0</v>
      </c>
      <c r="P165" s="31">
        <f t="shared" si="181"/>
        <v>1.5064907632709099E-2</v>
      </c>
      <c r="Q165" s="13" t="str">
        <f t="shared" si="182"/>
        <v xml:space="preserve"> </v>
      </c>
      <c r="R165" s="31">
        <f t="shared" si="183"/>
        <v>2.29132452414821E-2</v>
      </c>
      <c r="S165" s="39" t="str">
        <f t="shared" si="184"/>
        <v xml:space="preserve"> </v>
      </c>
      <c r="T165" s="31">
        <f t="shared" si="185"/>
        <v>6.3649076327091693E-3</v>
      </c>
      <c r="U165" s="39">
        <f t="shared" si="186"/>
        <v>1.421324524148217E-2</v>
      </c>
      <c r="V165" s="17">
        <f t="shared" si="187"/>
        <v>5.6727882054335266E-2</v>
      </c>
      <c r="W165" s="31">
        <f t="shared" si="188"/>
        <v>0</v>
      </c>
      <c r="X165" s="39">
        <f t="shared" si="189"/>
        <v>0</v>
      </c>
      <c r="Y165" s="16">
        <f t="shared" si="190"/>
        <v>0</v>
      </c>
      <c r="Z165" s="39">
        <f t="shared" si="189"/>
        <v>0</v>
      </c>
      <c r="AA165" s="16">
        <f t="shared" si="191"/>
        <v>0</v>
      </c>
      <c r="AB165" s="13">
        <f t="shared" ref="AB165" si="236">AA165^2</f>
        <v>0</v>
      </c>
      <c r="AC165" s="33">
        <f t="shared" si="193"/>
        <v>0</v>
      </c>
      <c r="AD165" s="39">
        <f t="shared" si="194"/>
        <v>0</v>
      </c>
      <c r="AE165" s="16">
        <f t="shared" si="195"/>
        <v>0</v>
      </c>
      <c r="AF165" s="39">
        <f t="shared" si="196"/>
        <v>0</v>
      </c>
      <c r="AG165" s="16">
        <f t="shared" si="197"/>
        <v>0</v>
      </c>
      <c r="AH165" s="39">
        <f t="shared" si="198"/>
        <v>0</v>
      </c>
      <c r="AI165" s="31">
        <f t="shared" si="199"/>
        <v>-7.848337608773015E-3</v>
      </c>
      <c r="AJ165" s="13">
        <f t="shared" si="200"/>
        <v>4.2514636812853057E-2</v>
      </c>
    </row>
    <row r="166" spans="1:36" x14ac:dyDescent="0.25">
      <c r="A166" s="29">
        <v>45536</v>
      </c>
      <c r="B166" s="12">
        <v>-6.5467326710893997E-3</v>
      </c>
      <c r="C166" s="7">
        <v>8.3999999999999596E-3</v>
      </c>
      <c r="D166" s="7">
        <v>-1.35066447950402E-2</v>
      </c>
      <c r="E166" s="13">
        <v>-3.0793211964354E-2</v>
      </c>
      <c r="F166" s="31">
        <f t="shared" si="178"/>
        <v>0.99345326732891059</v>
      </c>
      <c r="G166" s="7">
        <f t="shared" si="178"/>
        <v>1.0084</v>
      </c>
      <c r="H166" s="7">
        <f t="shared" si="178"/>
        <v>0.98649335520495984</v>
      </c>
      <c r="I166" s="13">
        <f t="shared" si="178"/>
        <v>0.96920678803564597</v>
      </c>
      <c r="J166" s="31">
        <f t="shared" si="201"/>
        <v>3.5307761637455251</v>
      </c>
      <c r="K166" s="7">
        <f>MAX($J$2:J166)</f>
        <v>3.5540435366815926</v>
      </c>
      <c r="L166" s="13">
        <f t="shared" si="179"/>
        <v>-6.5467326710894024E-3</v>
      </c>
      <c r="M166" s="12">
        <f t="shared" si="202"/>
        <v>11.393424622155852</v>
      </c>
      <c r="N166" s="7">
        <f>MAX($M$2:M166)</f>
        <v>11.549418515635805</v>
      </c>
      <c r="O166" s="39">
        <f t="shared" si="180"/>
        <v>-1.3506644795040232E-2</v>
      </c>
      <c r="P166" s="31" t="str">
        <f t="shared" si="181"/>
        <v xml:space="preserve"> </v>
      </c>
      <c r="Q166" s="13">
        <f t="shared" si="182"/>
        <v>-6.5467326710893997E-3</v>
      </c>
      <c r="R166" s="31" t="str">
        <f t="shared" si="183"/>
        <v xml:space="preserve"> </v>
      </c>
      <c r="S166" s="39">
        <f t="shared" si="184"/>
        <v>-1.35066447950402E-2</v>
      </c>
      <c r="T166" s="31">
        <f t="shared" si="185"/>
        <v>-1.4946732671089358E-2</v>
      </c>
      <c r="U166" s="39">
        <f t="shared" si="186"/>
        <v>-2.1906644795040162E-2</v>
      </c>
      <c r="V166" s="17">
        <f t="shared" si="187"/>
        <v>-3.9193211964353963E-2</v>
      </c>
      <c r="W166" s="31">
        <f t="shared" si="188"/>
        <v>-1.4946732671089358E-2</v>
      </c>
      <c r="X166" s="39">
        <f t="shared" si="189"/>
        <v>2.2340481754101003E-4</v>
      </c>
      <c r="Y166" s="16">
        <f t="shared" si="190"/>
        <v>-2.1906644795040162E-2</v>
      </c>
      <c r="Z166" s="39">
        <f t="shared" si="189"/>
        <v>4.7990108617606018E-4</v>
      </c>
      <c r="AA166" s="16">
        <f t="shared" si="191"/>
        <v>-3.9193211964353963E-2</v>
      </c>
      <c r="AB166" s="13">
        <f t="shared" ref="AB166" si="237">AA166^2</f>
        <v>1.5361078640827787E-3</v>
      </c>
      <c r="AC166" s="33">
        <f t="shared" si="193"/>
        <v>-6.5467326710893997E-3</v>
      </c>
      <c r="AD166" s="39">
        <f t="shared" si="194"/>
        <v>4.2859708666709344E-5</v>
      </c>
      <c r="AE166" s="16">
        <f t="shared" si="195"/>
        <v>-1.35066447950402E-2</v>
      </c>
      <c r="AF166" s="39">
        <f t="shared" si="196"/>
        <v>1.8242945361938653E-4</v>
      </c>
      <c r="AG166" s="16">
        <f t="shared" si="197"/>
        <v>-3.0793211964354E-2</v>
      </c>
      <c r="AH166" s="39">
        <f t="shared" si="198"/>
        <v>9.4822190308163439E-4</v>
      </c>
      <c r="AI166" s="31">
        <f t="shared" si="199"/>
        <v>6.9599121239507511E-3</v>
      </c>
      <c r="AJ166" s="13">
        <f t="shared" si="200"/>
        <v>-1.7286567169313871E-2</v>
      </c>
    </row>
    <row r="167" spans="1:36" x14ac:dyDescent="0.25">
      <c r="A167" s="29">
        <v>45566</v>
      </c>
      <c r="B167" s="12">
        <v>3.7306388237553001E-2</v>
      </c>
      <c r="C167" s="7">
        <v>9.3000000000000808E-3</v>
      </c>
      <c r="D167" s="7">
        <v>4.1102491060375002E-2</v>
      </c>
      <c r="E167" s="13">
        <v>-1.5954057170601499E-2</v>
      </c>
      <c r="F167" s="31">
        <f t="shared" si="178"/>
        <v>1.0373063882375531</v>
      </c>
      <c r="G167" s="7">
        <f t="shared" si="178"/>
        <v>1.0093000000000001</v>
      </c>
      <c r="H167" s="7">
        <f t="shared" si="178"/>
        <v>1.041102491060375</v>
      </c>
      <c r="I167" s="13">
        <f t="shared" si="178"/>
        <v>0.9840459428293985</v>
      </c>
      <c r="J167" s="31">
        <f t="shared" si="201"/>
        <v>3.6624966700901136</v>
      </c>
      <c r="K167" s="7">
        <f>MAX($J$2:J167)</f>
        <v>3.6624966700901136</v>
      </c>
      <c r="L167" s="13">
        <f t="shared" si="179"/>
        <v>0</v>
      </c>
      <c r="M167" s="12">
        <f t="shared" si="202"/>
        <v>11.86172275583507</v>
      </c>
      <c r="N167" s="7">
        <f>MAX($M$2:M167)</f>
        <v>11.86172275583507</v>
      </c>
      <c r="O167" s="39">
        <f t="shared" si="180"/>
        <v>0</v>
      </c>
      <c r="P167" s="31">
        <f t="shared" si="181"/>
        <v>3.7306388237553001E-2</v>
      </c>
      <c r="Q167" s="13" t="str">
        <f t="shared" si="182"/>
        <v xml:space="preserve"> </v>
      </c>
      <c r="R167" s="31">
        <f t="shared" si="183"/>
        <v>4.1102491060375002E-2</v>
      </c>
      <c r="S167" s="39" t="str">
        <f t="shared" si="184"/>
        <v xml:space="preserve"> </v>
      </c>
      <c r="T167" s="31">
        <f t="shared" si="185"/>
        <v>2.8006388237552922E-2</v>
      </c>
      <c r="U167" s="39">
        <f t="shared" si="186"/>
        <v>3.1802491060374923E-2</v>
      </c>
      <c r="V167" s="17">
        <f t="shared" si="187"/>
        <v>-2.5254057170601578E-2</v>
      </c>
      <c r="W167" s="31">
        <f t="shared" si="188"/>
        <v>0</v>
      </c>
      <c r="X167" s="39">
        <f t="shared" si="189"/>
        <v>0</v>
      </c>
      <c r="Y167" s="16">
        <f t="shared" si="190"/>
        <v>0</v>
      </c>
      <c r="Z167" s="39">
        <f t="shared" si="189"/>
        <v>0</v>
      </c>
      <c r="AA167" s="16">
        <f t="shared" si="191"/>
        <v>-2.5254057170601578E-2</v>
      </c>
      <c r="AB167" s="13">
        <f t="shared" ref="AB167" si="238">AA167^2</f>
        <v>6.3776740357601302E-4</v>
      </c>
      <c r="AC167" s="33">
        <f t="shared" si="193"/>
        <v>0</v>
      </c>
      <c r="AD167" s="39">
        <f t="shared" si="194"/>
        <v>0</v>
      </c>
      <c r="AE167" s="16">
        <f t="shared" si="195"/>
        <v>0</v>
      </c>
      <c r="AF167" s="39">
        <f t="shared" si="196"/>
        <v>0</v>
      </c>
      <c r="AG167" s="16">
        <f t="shared" si="197"/>
        <v>-1.5954057170601499E-2</v>
      </c>
      <c r="AH167" s="39">
        <f t="shared" si="198"/>
        <v>2.5453194020282109E-4</v>
      </c>
      <c r="AI167" s="31">
        <f t="shared" si="199"/>
        <v>-3.7961028228219451E-3</v>
      </c>
      <c r="AJ167" s="13">
        <f t="shared" si="200"/>
        <v>-5.70565482309765E-2</v>
      </c>
    </row>
    <row r="168" spans="1:36" x14ac:dyDescent="0.25">
      <c r="A168" s="29">
        <v>45597</v>
      </c>
      <c r="B168" s="12">
        <v>7.3262589634073005E-2</v>
      </c>
      <c r="C168" s="7">
        <v>7.9000000000000094E-3</v>
      </c>
      <c r="D168" s="7">
        <v>7.9537130004266599E-2</v>
      </c>
      <c r="E168" s="13">
        <v>-3.1184229799634498E-2</v>
      </c>
      <c r="F168" s="31">
        <f t="shared" si="178"/>
        <v>1.0732625896340731</v>
      </c>
      <c r="G168" s="7">
        <f t="shared" si="178"/>
        <v>1.0079</v>
      </c>
      <c r="H168" s="7">
        <f t="shared" si="178"/>
        <v>1.0795371300042667</v>
      </c>
      <c r="I168" s="13">
        <f t="shared" si="178"/>
        <v>0.96881577020036547</v>
      </c>
      <c r="J168" s="31">
        <f t="shared" si="201"/>
        <v>3.9308206606670848</v>
      </c>
      <c r="K168" s="7">
        <f>MAX($J$2:J168)</f>
        <v>3.9308206606670848</v>
      </c>
      <c r="L168" s="13">
        <f t="shared" si="179"/>
        <v>0</v>
      </c>
      <c r="M168" s="12">
        <f t="shared" si="202"/>
        <v>12.805170140740492</v>
      </c>
      <c r="N168" s="7">
        <f>MAX($M$2:M168)</f>
        <v>12.805170140740492</v>
      </c>
      <c r="O168" s="39">
        <f t="shared" si="180"/>
        <v>0</v>
      </c>
      <c r="P168" s="31">
        <f t="shared" si="181"/>
        <v>7.3262589634073005E-2</v>
      </c>
      <c r="Q168" s="13" t="str">
        <f t="shared" si="182"/>
        <v xml:space="preserve"> </v>
      </c>
      <c r="R168" s="31">
        <f t="shared" si="183"/>
        <v>7.9537130004266599E-2</v>
      </c>
      <c r="S168" s="39" t="str">
        <f t="shared" si="184"/>
        <v xml:space="preserve"> </v>
      </c>
      <c r="T168" s="31">
        <f t="shared" si="185"/>
        <v>6.5362589634073001E-2</v>
      </c>
      <c r="U168" s="39">
        <f t="shared" si="186"/>
        <v>7.1637130004266594E-2</v>
      </c>
      <c r="V168" s="17">
        <f t="shared" si="187"/>
        <v>-3.9084229799634509E-2</v>
      </c>
      <c r="W168" s="31">
        <f t="shared" si="188"/>
        <v>0</v>
      </c>
      <c r="X168" s="39">
        <f t="shared" si="189"/>
        <v>0</v>
      </c>
      <c r="Y168" s="16">
        <f t="shared" si="190"/>
        <v>0</v>
      </c>
      <c r="Z168" s="39">
        <f t="shared" si="189"/>
        <v>0</v>
      </c>
      <c r="AA168" s="16">
        <f t="shared" si="191"/>
        <v>-3.9084229799634509E-2</v>
      </c>
      <c r="AB168" s="13">
        <f t="shared" ref="AB168" si="239">AA168^2</f>
        <v>1.5275770190306382E-3</v>
      </c>
      <c r="AC168" s="33">
        <f t="shared" si="193"/>
        <v>0</v>
      </c>
      <c r="AD168" s="39">
        <f t="shared" si="194"/>
        <v>0</v>
      </c>
      <c r="AE168" s="16">
        <f t="shared" si="195"/>
        <v>0</v>
      </c>
      <c r="AF168" s="39">
        <f t="shared" si="196"/>
        <v>0</v>
      </c>
      <c r="AG168" s="16">
        <f t="shared" si="197"/>
        <v>-3.1184229799634498E-2</v>
      </c>
      <c r="AH168" s="39">
        <f t="shared" si="198"/>
        <v>9.7245618819641224E-4</v>
      </c>
      <c r="AI168" s="31">
        <f t="shared" si="199"/>
        <v>-6.2745403701935931E-3</v>
      </c>
      <c r="AJ168" s="13">
        <f t="shared" si="200"/>
        <v>-0.11072135980390119</v>
      </c>
    </row>
    <row r="169" spans="1:36" x14ac:dyDescent="0.25">
      <c r="A169" s="29">
        <v>45627</v>
      </c>
      <c r="B169" s="12">
        <v>-2.9421285716425502E-3</v>
      </c>
      <c r="C169" s="7">
        <v>9.3000000000000808E-3</v>
      </c>
      <c r="D169" s="7">
        <v>-3.5589877371718899E-3</v>
      </c>
      <c r="E169" s="13">
        <v>-4.2851004233376802E-2</v>
      </c>
      <c r="F169" s="31">
        <f t="shared" si="178"/>
        <v>0.99705787142835745</v>
      </c>
      <c r="G169" s="7">
        <f t="shared" si="178"/>
        <v>1.0093000000000001</v>
      </c>
      <c r="H169" s="7">
        <f t="shared" si="178"/>
        <v>0.99644101226282811</v>
      </c>
      <c r="I169" s="13">
        <f t="shared" si="178"/>
        <v>0.95714899576662316</v>
      </c>
      <c r="J169" s="31">
        <f t="shared" si="201"/>
        <v>3.9192556808913332</v>
      </c>
      <c r="K169" s="7">
        <f>MAX($J$2:J169)</f>
        <v>3.9308206606670848</v>
      </c>
      <c r="L169" s="13">
        <f t="shared" si="179"/>
        <v>-2.9421285716425688E-3</v>
      </c>
      <c r="M169" s="12">
        <f t="shared" si="202"/>
        <v>12.759596697237196</v>
      </c>
      <c r="N169" s="7">
        <f>MAX($M$2:M169)</f>
        <v>12.805170140740492</v>
      </c>
      <c r="O169" s="39">
        <f t="shared" si="180"/>
        <v>-3.5589877371719255E-3</v>
      </c>
      <c r="P169" s="31" t="str">
        <f t="shared" si="181"/>
        <v xml:space="preserve"> </v>
      </c>
      <c r="Q169" s="13">
        <f t="shared" si="182"/>
        <v>-2.9421285716425502E-3</v>
      </c>
      <c r="R169" s="31" t="str">
        <f t="shared" si="183"/>
        <v xml:space="preserve"> </v>
      </c>
      <c r="S169" s="39">
        <f t="shared" si="184"/>
        <v>-3.5589877371718899E-3</v>
      </c>
      <c r="T169" s="31">
        <f t="shared" si="185"/>
        <v>-1.224212857164263E-2</v>
      </c>
      <c r="U169" s="39">
        <f t="shared" si="186"/>
        <v>-1.2858987737171972E-2</v>
      </c>
      <c r="V169" s="17">
        <f t="shared" si="187"/>
        <v>-5.2151004233376881E-2</v>
      </c>
      <c r="W169" s="31">
        <f t="shared" si="188"/>
        <v>-1.224212857164263E-2</v>
      </c>
      <c r="X169" s="39">
        <f t="shared" si="189"/>
        <v>1.4986971196462884E-4</v>
      </c>
      <c r="Y169" s="16">
        <f t="shared" si="190"/>
        <v>-1.2858987737171972E-2</v>
      </c>
      <c r="Z169" s="39">
        <f t="shared" si="189"/>
        <v>1.6535356562473913E-4</v>
      </c>
      <c r="AA169" s="16">
        <f t="shared" si="191"/>
        <v>-5.2151004233376881E-2</v>
      </c>
      <c r="AB169" s="13">
        <f t="shared" ref="AB169" si="240">AA169^2</f>
        <v>2.7197272425496933E-3</v>
      </c>
      <c r="AC169" s="33">
        <f t="shared" si="193"/>
        <v>-2.9421285716425502E-3</v>
      </c>
      <c r="AD169" s="39">
        <f t="shared" si="194"/>
        <v>8.6561205320754329E-6</v>
      </c>
      <c r="AE169" s="16">
        <f t="shared" si="195"/>
        <v>-3.5589877371718899E-3</v>
      </c>
      <c r="AF169" s="39">
        <f t="shared" si="196"/>
        <v>1.266639371333989E-5</v>
      </c>
      <c r="AG169" s="16">
        <f t="shared" si="197"/>
        <v>-4.2851004233376802E-2</v>
      </c>
      <c r="AH169" s="39">
        <f t="shared" si="198"/>
        <v>1.8362085638088765E-3</v>
      </c>
      <c r="AI169" s="31">
        <f t="shared" si="199"/>
        <v>6.1685916552933762E-4</v>
      </c>
      <c r="AJ169" s="13">
        <f t="shared" si="200"/>
        <v>-3.9292016496204951E-2</v>
      </c>
    </row>
    <row r="170" spans="1:36" x14ac:dyDescent="0.25">
      <c r="A170" s="29">
        <v>45658</v>
      </c>
      <c r="B170" s="12">
        <v>-2.0550296327777599E-2</v>
      </c>
      <c r="C170" s="7">
        <v>1.0099999999999901E-2</v>
      </c>
      <c r="D170" s="7">
        <v>-1.2717854610923601E-2</v>
      </c>
      <c r="E170" s="13">
        <v>4.8651929200302702E-2</v>
      </c>
      <c r="F170" s="31">
        <f t="shared" si="178"/>
        <v>0.97944970367222239</v>
      </c>
      <c r="G170" s="7">
        <f t="shared" si="178"/>
        <v>1.0101</v>
      </c>
      <c r="H170" s="7">
        <f t="shared" si="178"/>
        <v>0.98728214538907644</v>
      </c>
      <c r="I170" s="13">
        <f t="shared" si="178"/>
        <v>1.0486519292003027</v>
      </c>
      <c r="J170" s="31">
        <f t="shared" si="201"/>
        <v>3.8387138152646907</v>
      </c>
      <c r="K170" s="7">
        <f>MAX($J$2:J170)</f>
        <v>3.9308206606670848</v>
      </c>
      <c r="L170" s="13">
        <f t="shared" si="179"/>
        <v>-2.3431963285438468E-2</v>
      </c>
      <c r="M170" s="12">
        <f t="shared" si="202"/>
        <v>12.597322001547713</v>
      </c>
      <c r="N170" s="7">
        <f>MAX($M$2:M170)</f>
        <v>12.805170140740492</v>
      </c>
      <c r="O170" s="39">
        <f t="shared" si="180"/>
        <v>-1.6231579659492061E-2</v>
      </c>
      <c r="P170" s="31" t="str">
        <f t="shared" si="181"/>
        <v xml:space="preserve"> </v>
      </c>
      <c r="Q170" s="13">
        <f t="shared" si="182"/>
        <v>-2.0550296327777599E-2</v>
      </c>
      <c r="R170" s="31" t="str">
        <f t="shared" si="183"/>
        <v xml:space="preserve"> </v>
      </c>
      <c r="S170" s="39">
        <f t="shared" si="184"/>
        <v>-1.2717854610923601E-2</v>
      </c>
      <c r="T170" s="31">
        <f t="shared" si="185"/>
        <v>-3.06502963277775E-2</v>
      </c>
      <c r="U170" s="39">
        <f t="shared" si="186"/>
        <v>-2.2817854610923501E-2</v>
      </c>
      <c r="V170" s="17">
        <f t="shared" si="187"/>
        <v>3.8551929200302801E-2</v>
      </c>
      <c r="W170" s="31">
        <f t="shared" si="188"/>
        <v>-3.06502963277775E-2</v>
      </c>
      <c r="X170" s="39">
        <f t="shared" si="189"/>
        <v>9.3944066498057087E-4</v>
      </c>
      <c r="Y170" s="16">
        <f t="shared" si="190"/>
        <v>-2.2817854610923501E-2</v>
      </c>
      <c r="Z170" s="39">
        <f t="shared" si="189"/>
        <v>5.2065448904524284E-4</v>
      </c>
      <c r="AA170" s="16">
        <f t="shared" si="191"/>
        <v>0</v>
      </c>
      <c r="AB170" s="13">
        <f t="shared" ref="AB170" si="241">AA170^2</f>
        <v>0</v>
      </c>
      <c r="AC170" s="33">
        <f t="shared" si="193"/>
        <v>-2.0550296327777599E-2</v>
      </c>
      <c r="AD170" s="39">
        <f t="shared" si="194"/>
        <v>4.2231467915946946E-4</v>
      </c>
      <c r="AE170" s="16">
        <f t="shared" si="195"/>
        <v>-1.2717854610923601E-2</v>
      </c>
      <c r="AF170" s="39">
        <f t="shared" si="196"/>
        <v>1.6174382590459068E-4</v>
      </c>
      <c r="AG170" s="16">
        <f t="shared" si="197"/>
        <v>0</v>
      </c>
      <c r="AH170" s="39">
        <f t="shared" si="198"/>
        <v>0</v>
      </c>
      <c r="AI170" s="31">
        <f t="shared" si="199"/>
        <v>-7.8324417168540439E-3</v>
      </c>
      <c r="AJ170" s="13">
        <f t="shared" si="200"/>
        <v>6.1369783811226264E-2</v>
      </c>
    </row>
    <row r="171" spans="1:36" x14ac:dyDescent="0.25">
      <c r="A171" s="29">
        <v>45689</v>
      </c>
      <c r="B171" s="12">
        <v>-4.3555527202875297E-3</v>
      </c>
      <c r="C171" s="7">
        <v>9.9000000000000199E-3</v>
      </c>
      <c r="D171" s="7">
        <v>-1.01477874366544E-2</v>
      </c>
      <c r="E171" s="13">
        <v>-2.6447853490307899E-2</v>
      </c>
      <c r="F171" s="31">
        <f t="shared" si="178"/>
        <v>0.99564444727971246</v>
      </c>
      <c r="G171" s="7">
        <f t="shared" si="178"/>
        <v>1.0099</v>
      </c>
      <c r="H171" s="7">
        <f t="shared" si="178"/>
        <v>0.98985221256334555</v>
      </c>
      <c r="I171" s="13">
        <f t="shared" si="178"/>
        <v>0.97355214650969213</v>
      </c>
      <c r="J171" s="31">
        <f t="shared" si="201"/>
        <v>3.821994094864209</v>
      </c>
      <c r="K171" s="7">
        <f>MAX($J$2:J171)</f>
        <v>3.9308206606670848</v>
      </c>
      <c r="L171" s="13">
        <f t="shared" si="179"/>
        <v>-2.7685456854296478E-2</v>
      </c>
      <c r="M171" s="12">
        <f t="shared" si="202"/>
        <v>12.469487055604917</v>
      </c>
      <c r="N171" s="7">
        <f>MAX($M$2:M171)</f>
        <v>12.805170140740492</v>
      </c>
      <c r="O171" s="39">
        <f t="shared" si="180"/>
        <v>-2.6214652476000824E-2</v>
      </c>
      <c r="P171" s="31" t="str">
        <f t="shared" si="181"/>
        <v xml:space="preserve"> </v>
      </c>
      <c r="Q171" s="13">
        <f t="shared" si="182"/>
        <v>-4.3555527202875297E-3</v>
      </c>
      <c r="R171" s="31" t="str">
        <f t="shared" si="183"/>
        <v xml:space="preserve"> </v>
      </c>
      <c r="S171" s="39">
        <f t="shared" si="184"/>
        <v>-1.01477874366544E-2</v>
      </c>
      <c r="T171" s="31">
        <f t="shared" si="185"/>
        <v>-1.425555272028755E-2</v>
      </c>
      <c r="U171" s="39">
        <f t="shared" si="186"/>
        <v>-2.0047787436654418E-2</v>
      </c>
      <c r="V171" s="17">
        <f t="shared" si="187"/>
        <v>-3.6347853490307919E-2</v>
      </c>
      <c r="W171" s="31">
        <f t="shared" si="188"/>
        <v>-1.425555272028755E-2</v>
      </c>
      <c r="X171" s="39">
        <f t="shared" si="189"/>
        <v>2.0322078336089776E-4</v>
      </c>
      <c r="Y171" s="16">
        <f t="shared" si="190"/>
        <v>-2.0047787436654418E-2</v>
      </c>
      <c r="Z171" s="39">
        <f t="shared" si="189"/>
        <v>4.0191378110527876E-4</v>
      </c>
      <c r="AA171" s="16">
        <f t="shared" si="191"/>
        <v>-3.6347853490307919E-2</v>
      </c>
      <c r="AB171" s="13">
        <f t="shared" ref="AB171" si="242">AA171^2</f>
        <v>1.3211664533528897E-3</v>
      </c>
      <c r="AC171" s="33">
        <f t="shared" si="193"/>
        <v>-4.3555527202875297E-3</v>
      </c>
      <c r="AD171" s="39">
        <f t="shared" si="194"/>
        <v>1.89708394992041E-5</v>
      </c>
      <c r="AE171" s="16">
        <f t="shared" si="195"/>
        <v>-1.01477874366544E-2</v>
      </c>
      <c r="AF171" s="39">
        <f t="shared" si="196"/>
        <v>1.0297758985952089E-4</v>
      </c>
      <c r="AG171" s="16">
        <f t="shared" si="197"/>
        <v>-2.6447853490307899E-2</v>
      </c>
      <c r="AH171" s="39">
        <f t="shared" si="198"/>
        <v>6.9948895424479175E-4</v>
      </c>
      <c r="AI171" s="31">
        <f t="shared" si="199"/>
        <v>5.7922347163669174E-3</v>
      </c>
      <c r="AJ171" s="13">
        <f t="shared" si="200"/>
        <v>-1.6300066053653417E-2</v>
      </c>
    </row>
    <row r="172" spans="1:36" x14ac:dyDescent="0.25">
      <c r="A172" s="29">
        <v>45717</v>
      </c>
      <c r="B172" s="12">
        <v>-6.1060330232280698E-2</v>
      </c>
      <c r="C172" s="7">
        <v>9.6000000000000495E-3</v>
      </c>
      <c r="D172" s="7">
        <v>-5.1642338845439603E-2</v>
      </c>
      <c r="E172" s="13">
        <v>6.0757823760779699E-2</v>
      </c>
      <c r="F172" s="31">
        <f t="shared" si="178"/>
        <v>0.93893966976771925</v>
      </c>
      <c r="G172" s="7">
        <f t="shared" si="178"/>
        <v>1.0096000000000001</v>
      </c>
      <c r="H172" s="7">
        <f t="shared" si="178"/>
        <v>0.94835766115456044</v>
      </c>
      <c r="I172" s="13">
        <f t="shared" si="178"/>
        <v>1.0607578237607798</v>
      </c>
      <c r="J172" s="31">
        <f t="shared" si="201"/>
        <v>3.5886218732859736</v>
      </c>
      <c r="K172" s="7">
        <f>MAX($J$2:J172)</f>
        <v>3.9308206606670848</v>
      </c>
      <c r="L172" s="13">
        <f t="shared" si="179"/>
        <v>-8.70553039484223E-2</v>
      </c>
      <c r="M172" s="12">
        <f t="shared" si="202"/>
        <v>11.825533579850546</v>
      </c>
      <c r="N172" s="7">
        <f>MAX($M$2:M172)</f>
        <v>12.805170140740492</v>
      </c>
      <c r="O172" s="39">
        <f t="shared" si="180"/>
        <v>-7.650320535555924E-2</v>
      </c>
      <c r="P172" s="31" t="str">
        <f t="shared" si="181"/>
        <v xml:space="preserve"> </v>
      </c>
      <c r="Q172" s="13">
        <f t="shared" si="182"/>
        <v>-6.1060330232280698E-2</v>
      </c>
      <c r="R172" s="31" t="str">
        <f t="shared" si="183"/>
        <v xml:space="preserve"> </v>
      </c>
      <c r="S172" s="39">
        <f t="shared" si="184"/>
        <v>-5.1642338845439603E-2</v>
      </c>
      <c r="T172" s="31">
        <f t="shared" si="185"/>
        <v>-7.0660330232280744E-2</v>
      </c>
      <c r="U172" s="39">
        <f t="shared" si="186"/>
        <v>-6.1242338845439656E-2</v>
      </c>
      <c r="V172" s="17">
        <f t="shared" si="187"/>
        <v>5.1157823760779653E-2</v>
      </c>
      <c r="W172" s="31">
        <f t="shared" si="188"/>
        <v>-7.0660330232280744E-2</v>
      </c>
      <c r="X172" s="39">
        <f t="shared" si="189"/>
        <v>4.9928822685349683E-3</v>
      </c>
      <c r="Y172" s="16">
        <f t="shared" si="190"/>
        <v>-6.1242338845439656E-2</v>
      </c>
      <c r="Z172" s="39">
        <f t="shared" si="189"/>
        <v>3.7506240672596472E-3</v>
      </c>
      <c r="AA172" s="16">
        <f t="shared" si="191"/>
        <v>0</v>
      </c>
      <c r="AB172" s="13">
        <f t="shared" ref="AB172" si="243">AA172^2</f>
        <v>0</v>
      </c>
      <c r="AC172" s="33">
        <f t="shared" si="193"/>
        <v>-6.1060330232280698E-2</v>
      </c>
      <c r="AD172" s="39">
        <f t="shared" si="194"/>
        <v>3.728363928075172E-3</v>
      </c>
      <c r="AE172" s="16">
        <f t="shared" si="195"/>
        <v>-5.1642338845439603E-2</v>
      </c>
      <c r="AF172" s="39">
        <f t="shared" si="196"/>
        <v>2.6669311614272002E-3</v>
      </c>
      <c r="AG172" s="16">
        <f t="shared" si="197"/>
        <v>0</v>
      </c>
      <c r="AH172" s="39">
        <f t="shared" si="198"/>
        <v>0</v>
      </c>
      <c r="AI172" s="31">
        <f t="shared" si="199"/>
        <v>-9.4179913868411846E-3</v>
      </c>
      <c r="AJ172" s="13">
        <f t="shared" si="200"/>
        <v>0.11240016260621932</v>
      </c>
    </row>
    <row r="173" spans="1:36" x14ac:dyDescent="0.25">
      <c r="A173" s="29">
        <v>45748</v>
      </c>
      <c r="B173" s="12">
        <v>-8.1064295691740604E-3</v>
      </c>
      <c r="C173" s="7">
        <v>1.0599999999999899E-2</v>
      </c>
      <c r="D173" s="7">
        <v>-1.5306220792543099E-2</v>
      </c>
      <c r="E173" s="13">
        <v>3.6903116843236501E-2</v>
      </c>
      <c r="F173" s="31">
        <f t="shared" si="178"/>
        <v>0.99189357043082593</v>
      </c>
      <c r="G173" s="7">
        <f t="shared" si="178"/>
        <v>1.0105999999999999</v>
      </c>
      <c r="H173" s="7">
        <f t="shared" si="178"/>
        <v>0.98469377920745693</v>
      </c>
      <c r="I173" s="13">
        <f t="shared" si="178"/>
        <v>1.0369031168432365</v>
      </c>
      <c r="J173" s="31">
        <f t="shared" si="201"/>
        <v>3.5595309628197835</v>
      </c>
      <c r="K173" s="7">
        <f>MAX($J$2:J173)</f>
        <v>3.9308206606670848</v>
      </c>
      <c r="L173" s="13">
        <f t="shared" si="179"/>
        <v>-9.4456025827515389E-2</v>
      </c>
      <c r="M173" s="12">
        <f t="shared" si="202"/>
        <v>11.644529351887721</v>
      </c>
      <c r="N173" s="7">
        <f>MAX($M$2:M173)</f>
        <v>12.805170140740492</v>
      </c>
      <c r="O173" s="39">
        <f t="shared" si="180"/>
        <v>-9.0638451195592898E-2</v>
      </c>
      <c r="P173" s="31" t="str">
        <f t="shared" si="181"/>
        <v xml:space="preserve"> </v>
      </c>
      <c r="Q173" s="13">
        <f t="shared" si="182"/>
        <v>-8.1064295691740604E-3</v>
      </c>
      <c r="R173" s="31" t="str">
        <f t="shared" si="183"/>
        <v xml:space="preserve"> </v>
      </c>
      <c r="S173" s="39">
        <f t="shared" si="184"/>
        <v>-1.5306220792543099E-2</v>
      </c>
      <c r="T173" s="31">
        <f t="shared" si="185"/>
        <v>-1.8706429569173962E-2</v>
      </c>
      <c r="U173" s="39">
        <f t="shared" si="186"/>
        <v>-2.5906220792542997E-2</v>
      </c>
      <c r="V173" s="17">
        <f t="shared" si="187"/>
        <v>2.63031168432366E-2</v>
      </c>
      <c r="W173" s="31">
        <f t="shared" si="188"/>
        <v>-1.8706429569173962E-2</v>
      </c>
      <c r="X173" s="39">
        <f t="shared" si="189"/>
        <v>3.4993050722646594E-4</v>
      </c>
      <c r="Y173" s="16">
        <f t="shared" si="190"/>
        <v>-2.5906220792542997E-2</v>
      </c>
      <c r="Z173" s="39">
        <f t="shared" si="189"/>
        <v>6.7113227575198706E-4</v>
      </c>
      <c r="AA173" s="16">
        <f t="shared" si="191"/>
        <v>0</v>
      </c>
      <c r="AB173" s="13">
        <f t="shared" ref="AB173" si="244">AA173^2</f>
        <v>0</v>
      </c>
      <c r="AC173" s="33">
        <f t="shared" si="193"/>
        <v>-8.1064295691740604E-3</v>
      </c>
      <c r="AD173" s="39">
        <f t="shared" si="194"/>
        <v>6.5714200359979545E-5</v>
      </c>
      <c r="AE173" s="16">
        <f t="shared" si="195"/>
        <v>-1.5306220792543099E-2</v>
      </c>
      <c r="AF173" s="39">
        <f t="shared" si="196"/>
        <v>2.342803949500787E-4</v>
      </c>
      <c r="AG173" s="16">
        <f t="shared" si="197"/>
        <v>0</v>
      </c>
      <c r="AH173" s="39">
        <f t="shared" si="198"/>
        <v>0</v>
      </c>
      <c r="AI173" s="31">
        <f t="shared" si="199"/>
        <v>7.1997912233690009E-3</v>
      </c>
      <c r="AJ173" s="13">
        <f t="shared" si="200"/>
        <v>5.2209337635779618E-2</v>
      </c>
    </row>
    <row r="174" spans="1:36" x14ac:dyDescent="0.25">
      <c r="A174" s="29">
        <v>45778</v>
      </c>
      <c r="B174" s="12">
        <v>7.0446872637098507E-2</v>
      </c>
      <c r="C174" s="7">
        <v>1.14E-2</v>
      </c>
      <c r="D174" s="7">
        <v>6.6552699528409101E-2</v>
      </c>
      <c r="E174" s="13">
        <v>1.4511316605832599E-2</v>
      </c>
      <c r="F174" s="31">
        <f t="shared" si="178"/>
        <v>1.0704468726370986</v>
      </c>
      <c r="G174" s="7">
        <f t="shared" si="178"/>
        <v>1.0114000000000001</v>
      </c>
      <c r="H174" s="7">
        <f t="shared" si="178"/>
        <v>1.0665526995284091</v>
      </c>
      <c r="I174" s="13">
        <f t="shared" si="178"/>
        <v>1.0145113166058326</v>
      </c>
      <c r="J174" s="31">
        <f t="shared" si="201"/>
        <v>3.8102887872053577</v>
      </c>
      <c r="K174" s="7">
        <f>MAX($J$2:J174)</f>
        <v>3.9308206606670848</v>
      </c>
      <c r="L174" s="13">
        <f t="shared" si="179"/>
        <v>-3.0663284811694284E-2</v>
      </c>
      <c r="M174" s="12">
        <f t="shared" si="202"/>
        <v>12.419504214993646</v>
      </c>
      <c r="N174" s="7">
        <f>MAX($M$2:M174)</f>
        <v>12.805170140740492</v>
      </c>
      <c r="O174" s="39">
        <f t="shared" si="180"/>
        <v>-3.0117985275324399E-2</v>
      </c>
      <c r="P174" s="31">
        <f t="shared" si="181"/>
        <v>7.0446872637098507E-2</v>
      </c>
      <c r="Q174" s="13" t="str">
        <f t="shared" si="182"/>
        <v xml:space="preserve"> </v>
      </c>
      <c r="R174" s="31">
        <f t="shared" si="183"/>
        <v>6.6552699528409101E-2</v>
      </c>
      <c r="S174" s="39" t="str">
        <f t="shared" si="184"/>
        <v xml:space="preserve"> </v>
      </c>
      <c r="T174" s="31">
        <f t="shared" si="185"/>
        <v>5.9046872637098506E-2</v>
      </c>
      <c r="U174" s="39">
        <f t="shared" si="186"/>
        <v>5.5152699528409101E-2</v>
      </c>
      <c r="V174" s="17">
        <f t="shared" si="187"/>
        <v>3.1113166058325988E-3</v>
      </c>
      <c r="W174" s="31">
        <f t="shared" si="188"/>
        <v>0</v>
      </c>
      <c r="X174" s="39">
        <f t="shared" si="189"/>
        <v>0</v>
      </c>
      <c r="Y174" s="16">
        <f t="shared" si="190"/>
        <v>0</v>
      </c>
      <c r="Z174" s="39">
        <f t="shared" si="189"/>
        <v>0</v>
      </c>
      <c r="AA174" s="16">
        <f t="shared" si="191"/>
        <v>0</v>
      </c>
      <c r="AB174" s="13">
        <f t="shared" ref="AB174" si="245">AA174^2</f>
        <v>0</v>
      </c>
      <c r="AC174" s="33">
        <f t="shared" si="193"/>
        <v>0</v>
      </c>
      <c r="AD174" s="39">
        <f t="shared" si="194"/>
        <v>0</v>
      </c>
      <c r="AE174" s="16">
        <f t="shared" si="195"/>
        <v>0</v>
      </c>
      <c r="AF174" s="39">
        <f t="shared" si="196"/>
        <v>0</v>
      </c>
      <c r="AG174" s="16">
        <f t="shared" si="197"/>
        <v>0</v>
      </c>
      <c r="AH174" s="39">
        <f t="shared" si="198"/>
        <v>0</v>
      </c>
      <c r="AI174" s="31">
        <f t="shared" si="199"/>
        <v>3.8941731086894471E-3</v>
      </c>
      <c r="AJ174" s="13">
        <f t="shared" si="200"/>
        <v>-5.204138292257654E-2</v>
      </c>
    </row>
    <row r="175" spans="1:36" x14ac:dyDescent="0.25">
      <c r="A175" s="29">
        <v>45809</v>
      </c>
      <c r="B175" s="12">
        <v>-2.9267716931113898E-4</v>
      </c>
      <c r="C175" s="7">
        <v>1.09999999999998E-2</v>
      </c>
      <c r="D175" s="7">
        <v>7.4125015909049996E-3</v>
      </c>
      <c r="E175" s="13">
        <v>1.3340436556299001E-2</v>
      </c>
      <c r="F175" s="31">
        <f t="shared" si="178"/>
        <v>0.99970732283068886</v>
      </c>
      <c r="G175" s="7">
        <f t="shared" si="178"/>
        <v>1.0109999999999999</v>
      </c>
      <c r="H175" s="7">
        <f t="shared" si="178"/>
        <v>1.007412501590905</v>
      </c>
      <c r="I175" s="13">
        <f t="shared" si="178"/>
        <v>1.013340436556299</v>
      </c>
      <c r="J175" s="31">
        <f t="shared" si="201"/>
        <v>3.8091736026688605</v>
      </c>
      <c r="K175" s="7">
        <f>MAX($J$2:J175)</f>
        <v>3.9308206606670848</v>
      </c>
      <c r="L175" s="13">
        <f t="shared" si="179"/>
        <v>-3.0946987537604938E-2</v>
      </c>
      <c r="M175" s="12">
        <f t="shared" si="202"/>
        <v>12.511563809745537</v>
      </c>
      <c r="N175" s="7">
        <f>MAX($M$2:M175)</f>
        <v>12.805170140740492</v>
      </c>
      <c r="O175" s="39">
        <f t="shared" si="180"/>
        <v>-2.2928733298187638E-2</v>
      </c>
      <c r="P175" s="31" t="str">
        <f t="shared" si="181"/>
        <v xml:space="preserve"> </v>
      </c>
      <c r="Q175" s="13">
        <f t="shared" si="182"/>
        <v>-2.9267716931113898E-4</v>
      </c>
      <c r="R175" s="31">
        <f t="shared" si="183"/>
        <v>7.4125015909049996E-3</v>
      </c>
      <c r="S175" s="39" t="str">
        <f t="shared" si="184"/>
        <v xml:space="preserve"> </v>
      </c>
      <c r="T175" s="31">
        <f t="shared" si="185"/>
        <v>-1.1292677169310939E-2</v>
      </c>
      <c r="U175" s="39">
        <f t="shared" si="186"/>
        <v>-3.5874984090948003E-3</v>
      </c>
      <c r="V175" s="17">
        <f t="shared" si="187"/>
        <v>2.3404365562992007E-3</v>
      </c>
      <c r="W175" s="31">
        <f t="shared" si="188"/>
        <v>-1.1292677169310939E-2</v>
      </c>
      <c r="X175" s="39">
        <f t="shared" si="189"/>
        <v>1.2752455765027652E-4</v>
      </c>
      <c r="Y175" s="16">
        <f t="shared" si="190"/>
        <v>-3.5874984090948003E-3</v>
      </c>
      <c r="Z175" s="39">
        <f t="shared" si="189"/>
        <v>1.2870144835257723E-5</v>
      </c>
      <c r="AA175" s="16">
        <f t="shared" si="191"/>
        <v>0</v>
      </c>
      <c r="AB175" s="13">
        <f t="shared" ref="AB175" si="246">AA175^2</f>
        <v>0</v>
      </c>
      <c r="AC175" s="33">
        <f t="shared" si="193"/>
        <v>-2.9267716931113898E-4</v>
      </c>
      <c r="AD175" s="39">
        <f t="shared" si="194"/>
        <v>8.5659925435981113E-8</v>
      </c>
      <c r="AE175" s="16">
        <f t="shared" si="195"/>
        <v>0</v>
      </c>
      <c r="AF175" s="39">
        <f t="shared" si="196"/>
        <v>0</v>
      </c>
      <c r="AG175" s="16">
        <f t="shared" si="197"/>
        <v>0</v>
      </c>
      <c r="AH175" s="39">
        <f t="shared" si="198"/>
        <v>0</v>
      </c>
      <c r="AI175" s="31">
        <f t="shared" si="199"/>
        <v>-7.705178760216147E-3</v>
      </c>
      <c r="AJ175" s="13">
        <f t="shared" si="200"/>
        <v>5.9279349653940105E-3</v>
      </c>
    </row>
    <row r="176" spans="1:36" x14ac:dyDescent="0.25">
      <c r="A176" s="29">
        <v>45839</v>
      </c>
      <c r="B176" s="12">
        <v>4.8488554199574298E-2</v>
      </c>
      <c r="C176" s="7">
        <v>1.27999999999999E-2</v>
      </c>
      <c r="D176" s="7">
        <v>3.3796519563049403E-2</v>
      </c>
      <c r="E176" s="13">
        <v>-4.1654963811169898E-2</v>
      </c>
      <c r="F176" s="31">
        <f t="shared" si="178"/>
        <v>1.0484885541995743</v>
      </c>
      <c r="G176" s="7">
        <f t="shared" si="178"/>
        <v>1.0127999999999999</v>
      </c>
      <c r="H176" s="7">
        <f t="shared" si="178"/>
        <v>1.0337965195630494</v>
      </c>
      <c r="I176" s="13">
        <f t="shared" si="178"/>
        <v>0.95834503618883016</v>
      </c>
      <c r="J176" s="31">
        <f t="shared" si="201"/>
        <v>3.9938749233574575</v>
      </c>
      <c r="K176" s="7">
        <f>MAX($J$2:J176)</f>
        <v>3.9938749233574575</v>
      </c>
      <c r="L176" s="13">
        <f t="shared" si="179"/>
        <v>0</v>
      </c>
      <c r="M176" s="12">
        <f t="shared" si="202"/>
        <v>12.934411120805944</v>
      </c>
      <c r="N176" s="7">
        <f>MAX($M$2:M176)</f>
        <v>12.934411120805944</v>
      </c>
      <c r="O176" s="39">
        <f t="shared" si="180"/>
        <v>0</v>
      </c>
      <c r="P176" s="31">
        <f t="shared" si="181"/>
        <v>4.8488554199574298E-2</v>
      </c>
      <c r="Q176" s="13" t="str">
        <f t="shared" si="182"/>
        <v xml:space="preserve"> </v>
      </c>
      <c r="R176" s="31">
        <f t="shared" si="183"/>
        <v>3.3796519563049403E-2</v>
      </c>
      <c r="S176" s="39" t="str">
        <f t="shared" si="184"/>
        <v xml:space="preserve"> </v>
      </c>
      <c r="T176" s="31">
        <f t="shared" si="185"/>
        <v>3.5688554199574396E-2</v>
      </c>
      <c r="U176" s="39">
        <f t="shared" si="186"/>
        <v>2.0996519563049501E-2</v>
      </c>
      <c r="V176" s="17">
        <f t="shared" si="187"/>
        <v>-5.44549638111698E-2</v>
      </c>
      <c r="W176" s="31">
        <f t="shared" si="188"/>
        <v>0</v>
      </c>
      <c r="X176" s="39">
        <f t="shared" si="189"/>
        <v>0</v>
      </c>
      <c r="Y176" s="16">
        <f t="shared" si="190"/>
        <v>0</v>
      </c>
      <c r="Z176" s="39">
        <f t="shared" si="189"/>
        <v>0</v>
      </c>
      <c r="AA176" s="16">
        <f t="shared" si="191"/>
        <v>-5.44549638111698E-2</v>
      </c>
      <c r="AB176" s="13">
        <f t="shared" ref="AB176" si="247">AA176^2</f>
        <v>2.9653430836758124E-3</v>
      </c>
      <c r="AC176" s="33">
        <f t="shared" si="193"/>
        <v>0</v>
      </c>
      <c r="AD176" s="39">
        <f t="shared" si="194"/>
        <v>0</v>
      </c>
      <c r="AE176" s="16">
        <f t="shared" si="195"/>
        <v>0</v>
      </c>
      <c r="AF176" s="39">
        <f t="shared" si="196"/>
        <v>0</v>
      </c>
      <c r="AG176" s="16">
        <f t="shared" si="197"/>
        <v>-4.1654963811169898E-2</v>
      </c>
      <c r="AH176" s="39">
        <f t="shared" si="198"/>
        <v>1.7351360101098738E-3</v>
      </c>
      <c r="AI176" s="31">
        <f t="shared" si="199"/>
        <v>1.4692034636524909E-2</v>
      </c>
      <c r="AJ176" s="13">
        <f t="shared" si="200"/>
        <v>-7.5451483374219253E-2</v>
      </c>
    </row>
    <row r="177" spans="1:36" x14ac:dyDescent="0.25">
      <c r="A177" s="29">
        <v>45870</v>
      </c>
      <c r="B177" s="12">
        <v>3.4220126575579199E-3</v>
      </c>
      <c r="C177" s="7">
        <v>1.1599999999999999E-2</v>
      </c>
      <c r="D177" s="7">
        <v>2.22483492231284E-3</v>
      </c>
      <c r="E177" s="13">
        <v>6.2755972375649005E-2</v>
      </c>
      <c r="F177" s="31">
        <f t="shared" si="178"/>
        <v>1.0034220126575579</v>
      </c>
      <c r="G177" s="7">
        <f t="shared" si="178"/>
        <v>1.0116000000000001</v>
      </c>
      <c r="H177" s="7">
        <f t="shared" si="178"/>
        <v>1.0022248349223128</v>
      </c>
      <c r="I177" s="13">
        <f t="shared" si="178"/>
        <v>1.062755972375649</v>
      </c>
      <c r="J177" s="31">
        <f t="shared" si="201"/>
        <v>4.0075420138978899</v>
      </c>
      <c r="K177" s="7">
        <f>MAX($J$2:J177)</f>
        <v>4.0075420138978899</v>
      </c>
      <c r="L177" s="13">
        <f t="shared" si="179"/>
        <v>0</v>
      </c>
      <c r="M177" s="12">
        <f t="shared" si="202"/>
        <v>12.963188050367064</v>
      </c>
      <c r="N177" s="7">
        <f>MAX($M$2:M177)</f>
        <v>12.963188050367064</v>
      </c>
      <c r="O177" s="39">
        <f t="shared" si="180"/>
        <v>0</v>
      </c>
      <c r="P177" s="31">
        <f t="shared" si="181"/>
        <v>3.4220126575579199E-3</v>
      </c>
      <c r="Q177" s="13" t="str">
        <f t="shared" si="182"/>
        <v xml:space="preserve"> </v>
      </c>
      <c r="R177" s="31">
        <f t="shared" si="183"/>
        <v>2.22483492231284E-3</v>
      </c>
      <c r="S177" s="39" t="str">
        <f t="shared" si="184"/>
        <v xml:space="preserve"> </v>
      </c>
      <c r="T177" s="31">
        <f t="shared" si="185"/>
        <v>-8.1779873424420793E-3</v>
      </c>
      <c r="U177" s="39">
        <f t="shared" si="186"/>
        <v>-9.3751650776871601E-3</v>
      </c>
      <c r="V177" s="17">
        <f t="shared" si="187"/>
        <v>5.1155972375649006E-2</v>
      </c>
      <c r="W177" s="31">
        <f t="shared" si="188"/>
        <v>-8.1779873424420793E-3</v>
      </c>
      <c r="X177" s="39">
        <f t="shared" si="189"/>
        <v>6.6879476973142861E-5</v>
      </c>
      <c r="Y177" s="16">
        <f t="shared" si="190"/>
        <v>-9.3751650776871601E-3</v>
      </c>
      <c r="Z177" s="39">
        <f t="shared" si="189"/>
        <v>8.7893720233884895E-5</v>
      </c>
      <c r="AA177" s="16">
        <f t="shared" si="191"/>
        <v>0</v>
      </c>
      <c r="AB177" s="13">
        <f t="shared" ref="AB177" si="248">AA177^2</f>
        <v>0</v>
      </c>
      <c r="AC177" s="33">
        <f t="shared" si="193"/>
        <v>0</v>
      </c>
      <c r="AD177" s="39">
        <f t="shared" si="194"/>
        <v>0</v>
      </c>
      <c r="AE177" s="16">
        <f t="shared" si="195"/>
        <v>0</v>
      </c>
      <c r="AF177" s="39">
        <f t="shared" si="196"/>
        <v>0</v>
      </c>
      <c r="AG177" s="16">
        <f t="shared" si="197"/>
        <v>0</v>
      </c>
      <c r="AH177" s="39">
        <f t="shared" si="198"/>
        <v>0</v>
      </c>
      <c r="AI177" s="31">
        <f t="shared" si="199"/>
        <v>1.1971777352450808E-3</v>
      </c>
      <c r="AJ177" s="13">
        <f t="shared" si="200"/>
        <v>6.0531137453336159E-2</v>
      </c>
    </row>
    <row r="178" spans="1:36" x14ac:dyDescent="0.25">
      <c r="A178" s="29">
        <v>45901</v>
      </c>
      <c r="B178" s="12">
        <v>1.1465264429110601E-2</v>
      </c>
      <c r="C178" s="7">
        <v>1.21999999999999E-2</v>
      </c>
      <c r="D178" s="7">
        <v>1.0064351004143801E-2</v>
      </c>
      <c r="E178" s="13">
        <v>3.4047036528970002E-2</v>
      </c>
      <c r="F178" s="31">
        <f t="shared" si="178"/>
        <v>1.0114652644291107</v>
      </c>
      <c r="G178" s="7">
        <f t="shared" si="178"/>
        <v>1.0122</v>
      </c>
      <c r="H178" s="7">
        <f t="shared" si="178"/>
        <v>1.0100643510041438</v>
      </c>
      <c r="I178" s="13">
        <f t="shared" si="178"/>
        <v>1.03404703652897</v>
      </c>
      <c r="J178" s="31">
        <f t="shared" si="201"/>
        <v>4.0534895427980002</v>
      </c>
      <c r="K178" s="7">
        <f>MAX($J$2:J178)</f>
        <v>4.0534895427980002</v>
      </c>
      <c r="L178" s="13">
        <f t="shared" si="179"/>
        <v>0</v>
      </c>
      <c r="M178" s="12">
        <f t="shared" si="202"/>
        <v>13.093654125038681</v>
      </c>
      <c r="N178" s="7">
        <f>MAX($M$2:M178)</f>
        <v>13.093654125038681</v>
      </c>
      <c r="O178" s="39">
        <f t="shared" si="180"/>
        <v>0</v>
      </c>
      <c r="P178" s="31">
        <f t="shared" si="181"/>
        <v>1.1465264429110601E-2</v>
      </c>
      <c r="Q178" s="13" t="str">
        <f t="shared" si="182"/>
        <v xml:space="preserve"> </v>
      </c>
      <c r="R178" s="31">
        <f t="shared" si="183"/>
        <v>1.0064351004143801E-2</v>
      </c>
      <c r="S178" s="39" t="str">
        <f t="shared" si="184"/>
        <v xml:space="preserve"> </v>
      </c>
      <c r="T178" s="31">
        <f t="shared" si="185"/>
        <v>-7.3473557088929962E-4</v>
      </c>
      <c r="U178" s="39">
        <f t="shared" si="186"/>
        <v>-2.1356489958560994E-3</v>
      </c>
      <c r="V178" s="17">
        <f t="shared" si="187"/>
        <v>2.1847036528970104E-2</v>
      </c>
      <c r="W178" s="31">
        <f t="shared" si="188"/>
        <v>-7.3473557088929962E-4</v>
      </c>
      <c r="X178" s="39">
        <f t="shared" si="189"/>
        <v>5.3983635913002503E-7</v>
      </c>
      <c r="Y178" s="16">
        <f t="shared" si="190"/>
        <v>-2.1356489958560994E-3</v>
      </c>
      <c r="Z178" s="39">
        <f t="shared" si="189"/>
        <v>4.5609966335011657E-6</v>
      </c>
      <c r="AA178" s="16">
        <f t="shared" si="191"/>
        <v>0</v>
      </c>
      <c r="AB178" s="13">
        <f t="shared" ref="AB178" si="249">AA178^2</f>
        <v>0</v>
      </c>
      <c r="AC178" s="33">
        <f t="shared" si="193"/>
        <v>0</v>
      </c>
      <c r="AD178" s="39">
        <f t="shared" si="194"/>
        <v>0</v>
      </c>
      <c r="AE178" s="16">
        <f t="shared" si="195"/>
        <v>0</v>
      </c>
      <c r="AF178" s="39">
        <f t="shared" si="196"/>
        <v>0</v>
      </c>
      <c r="AG178" s="16">
        <f t="shared" si="197"/>
        <v>0</v>
      </c>
      <c r="AH178" s="39">
        <f t="shared" si="198"/>
        <v>0</v>
      </c>
      <c r="AI178" s="31">
        <f t="shared" si="199"/>
        <v>1.4009134249668431E-3</v>
      </c>
      <c r="AJ178" s="13">
        <f t="shared" si="200"/>
        <v>2.3982685524826186E-2</v>
      </c>
    </row>
    <row r="179" spans="1:36" x14ac:dyDescent="0.25">
      <c r="A179" s="29">
        <v>45931</v>
      </c>
      <c r="B179" s="12">
        <v>4.3128289840227797E-2</v>
      </c>
      <c r="C179" s="7">
        <v>1.27999999999999E-2</v>
      </c>
      <c r="D179" s="7">
        <v>3.5399690918578898E-2</v>
      </c>
      <c r="E179" s="13">
        <v>2.25866230844451E-2</v>
      </c>
      <c r="F179" s="31">
        <f t="shared" si="178"/>
        <v>1.0431282898402279</v>
      </c>
      <c r="G179" s="7">
        <f t="shared" si="178"/>
        <v>1.0127999999999999</v>
      </c>
      <c r="H179" s="7">
        <f t="shared" si="178"/>
        <v>1.035399690918579</v>
      </c>
      <c r="I179" s="13">
        <f t="shared" si="178"/>
        <v>1.0225866230844451</v>
      </c>
      <c r="J179" s="31">
        <f t="shared" si="201"/>
        <v>4.2283096146641252</v>
      </c>
      <c r="K179" s="7">
        <f>MAX($J$2:J179)</f>
        <v>4.2283096146641252</v>
      </c>
      <c r="L179" s="13">
        <f t="shared" si="179"/>
        <v>0</v>
      </c>
      <c r="M179" s="12">
        <f t="shared" si="202"/>
        <v>13.557165434059826</v>
      </c>
      <c r="N179" s="7">
        <f>MAX($M$2:M179)</f>
        <v>13.557165434059826</v>
      </c>
      <c r="O179" s="39">
        <f t="shared" si="180"/>
        <v>0</v>
      </c>
      <c r="P179" s="31">
        <f t="shared" si="181"/>
        <v>4.3128289840227797E-2</v>
      </c>
      <c r="Q179" s="13" t="str">
        <f t="shared" si="182"/>
        <v xml:space="preserve"> </v>
      </c>
      <c r="R179" s="31">
        <f t="shared" si="183"/>
        <v>3.5399690918578898E-2</v>
      </c>
      <c r="S179" s="39" t="str">
        <f t="shared" si="184"/>
        <v xml:space="preserve"> </v>
      </c>
      <c r="T179" s="31">
        <f t="shared" si="185"/>
        <v>3.0328289840227896E-2</v>
      </c>
      <c r="U179" s="39">
        <f t="shared" si="186"/>
        <v>2.2599690918578996E-2</v>
      </c>
      <c r="V179" s="17">
        <f t="shared" si="187"/>
        <v>9.7866230844452003E-3</v>
      </c>
      <c r="W179" s="31">
        <f t="shared" si="188"/>
        <v>0</v>
      </c>
      <c r="X179" s="39">
        <f t="shared" si="189"/>
        <v>0</v>
      </c>
      <c r="Y179" s="16">
        <f t="shared" si="190"/>
        <v>0</v>
      </c>
      <c r="Z179" s="39">
        <f t="shared" si="189"/>
        <v>0</v>
      </c>
      <c r="AA179" s="16">
        <f t="shared" si="191"/>
        <v>0</v>
      </c>
      <c r="AB179" s="13">
        <f t="shared" ref="AB179" si="250">AA179^2</f>
        <v>0</v>
      </c>
      <c r="AC179" s="33">
        <f t="shared" si="193"/>
        <v>0</v>
      </c>
      <c r="AD179" s="39">
        <f t="shared" si="194"/>
        <v>0</v>
      </c>
      <c r="AE179" s="16">
        <f t="shared" si="195"/>
        <v>0</v>
      </c>
      <c r="AF179" s="39">
        <f t="shared" si="196"/>
        <v>0</v>
      </c>
      <c r="AG179" s="16">
        <f t="shared" si="197"/>
        <v>0</v>
      </c>
      <c r="AH179" s="39">
        <f t="shared" si="198"/>
        <v>0</v>
      </c>
      <c r="AI179" s="31">
        <f t="shared" si="199"/>
        <v>7.7285989216488993E-3</v>
      </c>
      <c r="AJ179" s="13">
        <f t="shared" si="200"/>
        <v>-1.2813067834133829E-2</v>
      </c>
    </row>
    <row r="180" spans="1:36" x14ac:dyDescent="0.25">
      <c r="A180" s="29">
        <v>45962</v>
      </c>
      <c r="B180" s="12">
        <v>-3.8493760637614501E-4</v>
      </c>
      <c r="C180" s="7">
        <v>1.04999999999999E-2</v>
      </c>
      <c r="D180" s="7">
        <v>-2.81902891824392E-3</v>
      </c>
      <c r="E180" s="13">
        <v>6.3742142570549706E-2</v>
      </c>
      <c r="F180" s="31">
        <f t="shared" si="178"/>
        <v>0.99961506239362385</v>
      </c>
      <c r="G180" s="7">
        <f t="shared" si="178"/>
        <v>1.0105</v>
      </c>
      <c r="H180" s="7">
        <f t="shared" si="178"/>
        <v>0.99718097108175607</v>
      </c>
      <c r="I180" s="13">
        <f t="shared" si="178"/>
        <v>1.0637421425705498</v>
      </c>
      <c r="J180" s="31">
        <f t="shared" si="201"/>
        <v>4.2266819792820396</v>
      </c>
      <c r="K180" s="7">
        <f>MAX($J$2:J180)</f>
        <v>4.2283096146641252</v>
      </c>
      <c r="L180" s="13">
        <f t="shared" si="179"/>
        <v>-3.8493760637605247E-4</v>
      </c>
      <c r="M180" s="12">
        <f t="shared" si="202"/>
        <v>13.518947392651794</v>
      </c>
      <c r="N180" s="7">
        <f>MAX($M$2:M180)</f>
        <v>13.557165434059826</v>
      </c>
      <c r="O180" s="39">
        <f t="shared" si="180"/>
        <v>-2.8190289182439036E-3</v>
      </c>
      <c r="P180" s="31" t="str">
        <f t="shared" si="181"/>
        <v xml:space="preserve"> </v>
      </c>
      <c r="Q180" s="13">
        <f t="shared" si="182"/>
        <v>-3.8493760637614501E-4</v>
      </c>
      <c r="R180" s="31" t="str">
        <f t="shared" si="183"/>
        <v xml:space="preserve"> </v>
      </c>
      <c r="S180" s="39">
        <f t="shared" si="184"/>
        <v>-2.81902891824392E-3</v>
      </c>
      <c r="T180" s="31">
        <f t="shared" si="185"/>
        <v>-1.0884937606376046E-2</v>
      </c>
      <c r="U180" s="39">
        <f t="shared" si="186"/>
        <v>-1.331902891824382E-2</v>
      </c>
      <c r="V180" s="17">
        <f t="shared" si="187"/>
        <v>5.3242142570549808E-2</v>
      </c>
      <c r="W180" s="31">
        <f t="shared" si="188"/>
        <v>-1.0884937606376046E-2</v>
      </c>
      <c r="X180" s="39">
        <f t="shared" si="189"/>
        <v>1.1848186669469948E-4</v>
      </c>
      <c r="Y180" s="16">
        <f t="shared" si="190"/>
        <v>-1.331902891824382E-2</v>
      </c>
      <c r="Z180" s="39">
        <f t="shared" si="189"/>
        <v>1.7739653132501512E-4</v>
      </c>
      <c r="AA180" s="16">
        <f t="shared" si="191"/>
        <v>0</v>
      </c>
      <c r="AB180" s="13">
        <f t="shared" ref="AB180" si="251">AA180^2</f>
        <v>0</v>
      </c>
      <c r="AC180" s="33">
        <f t="shared" si="193"/>
        <v>-3.8493760637614501E-4</v>
      </c>
      <c r="AD180" s="39">
        <f t="shared" si="194"/>
        <v>1.4817696080259596E-7</v>
      </c>
      <c r="AE180" s="16">
        <f t="shared" si="195"/>
        <v>-2.81902891824392E-3</v>
      </c>
      <c r="AF180" s="39">
        <f t="shared" si="196"/>
        <v>7.9469240418954853E-6</v>
      </c>
      <c r="AG180" s="16">
        <f t="shared" si="197"/>
        <v>0</v>
      </c>
      <c r="AH180" s="39">
        <f t="shared" si="198"/>
        <v>0</v>
      </c>
      <c r="AI180" s="31">
        <f t="shared" si="199"/>
        <v>2.4340913118677809E-3</v>
      </c>
      <c r="AJ180" s="13">
        <f t="shared" si="200"/>
        <v>6.6561171488793702E-2</v>
      </c>
    </row>
    <row r="181" spans="1:36" x14ac:dyDescent="0.25">
      <c r="A181" s="29">
        <v>45992</v>
      </c>
      <c r="B181" s="12">
        <v>5.0388758938077802E-2</v>
      </c>
      <c r="C181" s="7">
        <v>1.21999999999999E-2</v>
      </c>
      <c r="D181" s="7">
        <v>2.3790544359713901E-2</v>
      </c>
      <c r="E181" s="13">
        <v>1.29061054113861E-2</v>
      </c>
      <c r="F181" s="31">
        <f t="shared" si="178"/>
        <v>1.0503887589380778</v>
      </c>
      <c r="G181" s="7">
        <f t="shared" si="178"/>
        <v>1.0122</v>
      </c>
      <c r="H181" s="7">
        <f t="shared" si="178"/>
        <v>1.0237905443597139</v>
      </c>
      <c r="I181" s="13">
        <f t="shared" si="178"/>
        <v>1.0129061054113861</v>
      </c>
      <c r="J181" s="31">
        <f t="shared" si="201"/>
        <v>4.4396592386439995</v>
      </c>
      <c r="K181" s="7">
        <f>MAX($J$2:J181)</f>
        <v>4.4396592386439995</v>
      </c>
      <c r="L181" s="13">
        <f t="shared" si="179"/>
        <v>0</v>
      </c>
      <c r="M181" s="12">
        <f t="shared" si="202"/>
        <v>13.840570510293317</v>
      </c>
      <c r="N181" s="7">
        <f>MAX($M$2:M181)</f>
        <v>13.840570510293317</v>
      </c>
      <c r="O181" s="39">
        <f t="shared" si="180"/>
        <v>0</v>
      </c>
      <c r="P181" s="31">
        <f t="shared" si="181"/>
        <v>5.0388758938077802E-2</v>
      </c>
      <c r="Q181" s="13" t="str">
        <f t="shared" si="182"/>
        <v xml:space="preserve"> </v>
      </c>
      <c r="R181" s="31">
        <f t="shared" si="183"/>
        <v>2.3790544359713901E-2</v>
      </c>
      <c r="S181" s="39" t="str">
        <f t="shared" si="184"/>
        <v xml:space="preserve"> </v>
      </c>
      <c r="T181" s="31">
        <f t="shared" si="185"/>
        <v>3.8188758938077903E-2</v>
      </c>
      <c r="U181" s="39">
        <f t="shared" si="186"/>
        <v>1.1590544359714001E-2</v>
      </c>
      <c r="V181" s="17">
        <f t="shared" si="187"/>
        <v>7.0610541138619969E-4</v>
      </c>
      <c r="W181" s="31">
        <f t="shared" si="188"/>
        <v>0</v>
      </c>
      <c r="X181" s="39">
        <f t="shared" si="189"/>
        <v>0</v>
      </c>
      <c r="Y181" s="16">
        <f t="shared" si="190"/>
        <v>0</v>
      </c>
      <c r="Z181" s="39">
        <f t="shared" si="189"/>
        <v>0</v>
      </c>
      <c r="AA181" s="16">
        <f t="shared" si="191"/>
        <v>0</v>
      </c>
      <c r="AB181" s="13">
        <f t="shared" ref="AB181" si="252">AA181^2</f>
        <v>0</v>
      </c>
      <c r="AC181" s="33">
        <f t="shared" si="193"/>
        <v>0</v>
      </c>
      <c r="AD181" s="39">
        <f t="shared" si="194"/>
        <v>0</v>
      </c>
      <c r="AE181" s="16">
        <f t="shared" si="195"/>
        <v>0</v>
      </c>
      <c r="AF181" s="39">
        <f t="shared" si="196"/>
        <v>0</v>
      </c>
      <c r="AG181" s="16">
        <f t="shared" si="197"/>
        <v>0</v>
      </c>
      <c r="AH181" s="39">
        <f t="shared" si="198"/>
        <v>0</v>
      </c>
      <c r="AI181" s="31">
        <f t="shared" si="199"/>
        <v>2.6598214578363866E-2</v>
      </c>
      <c r="AJ181" s="13">
        <f t="shared" si="200"/>
        <v>-1.0884438948327801E-2</v>
      </c>
    </row>
    <row r="182" spans="1:36" ht="15.75" thickBot="1" x14ac:dyDescent="0.3">
      <c r="A182" s="30">
        <v>46023</v>
      </c>
      <c r="B182" s="26">
        <v>6.7310504859385799E-3</v>
      </c>
      <c r="C182" s="14">
        <v>1.1599999999999999E-2</v>
      </c>
      <c r="D182" s="14">
        <v>-1.50987321814843E-2</v>
      </c>
      <c r="E182" s="15">
        <v>0.125610550814585</v>
      </c>
      <c r="F182" s="32">
        <f t="shared" si="178"/>
        <v>1.0067310504859386</v>
      </c>
      <c r="G182" s="14">
        <f t="shared" si="178"/>
        <v>1.0116000000000001</v>
      </c>
      <c r="H182" s="14">
        <f t="shared" si="178"/>
        <v>0.98490126781851572</v>
      </c>
      <c r="I182" s="15">
        <f t="shared" si="178"/>
        <v>1.1256105508145851</v>
      </c>
      <c r="J182" s="32">
        <f t="shared" si="201"/>
        <v>4.4695428091196758</v>
      </c>
      <c r="K182" s="14">
        <f>MAX($J$2:J182)</f>
        <v>4.4695428091196758</v>
      </c>
      <c r="L182" s="15">
        <f t="shared" si="179"/>
        <v>0</v>
      </c>
      <c r="M182" s="26">
        <f t="shared" si="202"/>
        <v>13.631595442919449</v>
      </c>
      <c r="N182" s="14">
        <f>MAX($M$2:M182)</f>
        <v>13.840570510293317</v>
      </c>
      <c r="O182" s="40">
        <f t="shared" si="180"/>
        <v>-1.5098732181484211E-2</v>
      </c>
      <c r="P182" s="32">
        <f t="shared" si="181"/>
        <v>6.7310504859385799E-3</v>
      </c>
      <c r="Q182" s="15" t="str">
        <f t="shared" si="182"/>
        <v xml:space="preserve"> </v>
      </c>
      <c r="R182" s="32" t="str">
        <f t="shared" si="183"/>
        <v xml:space="preserve"> </v>
      </c>
      <c r="S182" s="40">
        <f t="shared" si="184"/>
        <v>-1.50987321814843E-2</v>
      </c>
      <c r="T182" s="32">
        <f t="shared" si="185"/>
        <v>-4.8689495140614193E-3</v>
      </c>
      <c r="U182" s="40">
        <f t="shared" si="186"/>
        <v>-2.6698732181484299E-2</v>
      </c>
      <c r="V182" s="45">
        <f t="shared" si="187"/>
        <v>0.114010550814585</v>
      </c>
      <c r="W182" s="32">
        <f t="shared" si="188"/>
        <v>-4.8689495140614193E-3</v>
      </c>
      <c r="X182" s="40">
        <f t="shared" si="189"/>
        <v>2.3706669370478933E-5</v>
      </c>
      <c r="Y182" s="50">
        <f t="shared" si="190"/>
        <v>-2.6698732181484299E-2</v>
      </c>
      <c r="Z182" s="40">
        <f t="shared" si="189"/>
        <v>7.1282230009862531E-4</v>
      </c>
      <c r="AA182" s="50">
        <f t="shared" si="191"/>
        <v>0</v>
      </c>
      <c r="AB182" s="15">
        <f t="shared" ref="AB182" si="253">AA182^2</f>
        <v>0</v>
      </c>
      <c r="AC182" s="51">
        <f t="shared" si="193"/>
        <v>0</v>
      </c>
      <c r="AD182" s="40">
        <f t="shared" si="194"/>
        <v>0</v>
      </c>
      <c r="AE182" s="50">
        <f t="shared" si="195"/>
        <v>-1.50987321814843E-2</v>
      </c>
      <c r="AF182" s="40">
        <f t="shared" si="196"/>
        <v>2.2797171348818963E-4</v>
      </c>
      <c r="AG182" s="50">
        <f t="shared" si="197"/>
        <v>0</v>
      </c>
      <c r="AH182" s="40">
        <f t="shared" si="198"/>
        <v>0</v>
      </c>
      <c r="AI182" s="32">
        <f t="shared" si="199"/>
        <v>2.1829782667422859E-2</v>
      </c>
      <c r="AJ182" s="15">
        <f t="shared" si="200"/>
        <v>0.14070928299606933</v>
      </c>
    </row>
    <row r="184" spans="1:36" ht="45" x14ac:dyDescent="0.25">
      <c r="A184" s="1" t="s">
        <v>18</v>
      </c>
      <c r="B184" s="2">
        <f>PRODUCT(F2:F182)</f>
        <v>4.4695428091196758</v>
      </c>
      <c r="C184" s="2">
        <f>PRODUCT(G2:G182)</f>
        <v>4.052888423410125</v>
      </c>
      <c r="D184" s="2">
        <f>PRODUCT(H2:H182)</f>
        <v>13.631595442919449</v>
      </c>
      <c r="E184" s="2">
        <f>PRODUCT(I2:I182)</f>
        <v>2.6168963278262809</v>
      </c>
      <c r="O184" s="1" t="s">
        <v>48</v>
      </c>
      <c r="P184" s="57">
        <f>AVERAGE(P2:P182)</f>
        <v>2.5828767175292228E-2</v>
      </c>
      <c r="Q184" s="57">
        <f>AVERAGE(Q2:Q182)</f>
        <v>-1.838256568170114E-2</v>
      </c>
      <c r="R184" s="57">
        <f>AVERAGE(R2:R182)</f>
        <v>4.0220347729963787E-2</v>
      </c>
      <c r="S184" s="1" t="s">
        <v>42</v>
      </c>
      <c r="T184" s="2">
        <f>_xlfn.COVARIANCE.S(T2:T182,U2:U182)</f>
        <v>3.845818642262993E-4</v>
      </c>
      <c r="W184" s="1" t="s">
        <v>30</v>
      </c>
      <c r="X184" s="1">
        <f>SQRT(AVERAGE(X2:X182))*SQRT(12)</f>
        <v>7.2544414923189235E-2</v>
      </c>
      <c r="Z184" s="1">
        <f>SQRT(AVERAGE(Z2:Z182))*SQRT(12)</f>
        <v>9.4687825299181155E-2</v>
      </c>
      <c r="AB184" s="1">
        <f>SQRT(AVERAGE(AB2:AB182))*SQRT(12)</f>
        <v>0.15334122929700933</v>
      </c>
      <c r="AD184" s="1">
        <f>SQRT(AVERAGE(AD2:AD182))*SQRT(12)</f>
        <v>5.9411006810861602E-2</v>
      </c>
      <c r="AF184" s="1">
        <f>SQRT(AVERAGE(AF2:AF182))*SQRT(12)</f>
        <v>8.0952986385568679E-2</v>
      </c>
      <c r="AH184" s="1">
        <f>SQRT(AVERAGE(AH2:AH182))*SQRT(12)</f>
        <v>0.13975364130868126</v>
      </c>
    </row>
    <row r="185" spans="1:36" x14ac:dyDescent="0.25">
      <c r="A185" s="1" t="s">
        <v>17</v>
      </c>
      <c r="B185" s="2">
        <f>COUNT(F2:F182)</f>
        <v>181</v>
      </c>
      <c r="C185" s="2">
        <f>COUNT(G2:G182)</f>
        <v>181</v>
      </c>
      <c r="D185" s="2">
        <f>COUNT(H2:H182)</f>
        <v>181</v>
      </c>
      <c r="E185" s="2">
        <f>COUNT(I2:I182)</f>
        <v>181</v>
      </c>
      <c r="T185" s="1" t="s">
        <v>43</v>
      </c>
      <c r="U185" s="2">
        <f>_xlfn.VAR.S(U2:U182)</f>
        <v>2.0420227201360893E-3</v>
      </c>
    </row>
    <row r="186" spans="1:36" x14ac:dyDescent="0.25">
      <c r="A186" s="1" t="s">
        <v>19</v>
      </c>
      <c r="B186" s="2">
        <f>B185/12</f>
        <v>15.083333333333334</v>
      </c>
      <c r="C186" s="2">
        <f>C185/12</f>
        <v>15.083333333333334</v>
      </c>
      <c r="D186" s="2">
        <f>D185/12</f>
        <v>15.083333333333334</v>
      </c>
      <c r="E186" s="2">
        <f>E185/12</f>
        <v>15.083333333333334</v>
      </c>
    </row>
    <row r="187" spans="1:36" x14ac:dyDescent="0.25">
      <c r="S187" s="1" t="s">
        <v>48</v>
      </c>
      <c r="T187" s="2">
        <f>AVERAGE(T2:T182)</f>
        <v>9.6471579413458079E-4</v>
      </c>
      <c r="U187" s="2">
        <f>AVERAGE(U2:U182)</f>
        <v>7.7509533135621542E-3</v>
      </c>
    </row>
    <row r="188" spans="1:36" x14ac:dyDescent="0.25">
      <c r="A188" s="1" t="s">
        <v>8</v>
      </c>
      <c r="B188" s="3">
        <f>((B184)^(1/B186))-1</f>
        <v>0.10436177431633475</v>
      </c>
      <c r="C188" s="3">
        <f>((C184)^(1/C186))-1</f>
        <v>9.7220185755323874E-2</v>
      </c>
      <c r="D188" s="3">
        <f>((D184)^(1/D186))-1</f>
        <v>0.18910050894841435</v>
      </c>
      <c r="E188" s="3">
        <f>((E184)^(1/E186))-1</f>
        <v>6.5856047509202709E-2</v>
      </c>
    </row>
    <row r="190" spans="1:36" x14ac:dyDescent="0.25">
      <c r="A190" s="1" t="s">
        <v>9</v>
      </c>
      <c r="B190" s="3">
        <f>(_xlfn.STDEV.S(B2:B182))*SQRT(12)</f>
        <v>0.1010584063673422</v>
      </c>
      <c r="C190" s="3">
        <f>(_xlfn.STDEV.S(C2:C182))*SQRT(12)</f>
        <v>1.000915455740177E-2</v>
      </c>
      <c r="D190" s="3">
        <f>(_xlfn.STDEV.S(D2:D182))*SQRT(12)</f>
        <v>0.15462521094919368</v>
      </c>
      <c r="E190" s="3">
        <f>(_xlfn.STDEV.S(E2:E182))*SQRT(12)</f>
        <v>0.21116519866251171</v>
      </c>
    </row>
    <row r="192" spans="1:36" x14ac:dyDescent="0.25">
      <c r="A192" s="1" t="s">
        <v>10</v>
      </c>
      <c r="B192" s="3">
        <f>MIN($L$2:$L$182)</f>
        <v>-0.22341540241088503</v>
      </c>
      <c r="C192" s="3"/>
      <c r="D192" s="3">
        <f>MIN($O$2:$O$182)</f>
        <v>-0.28210082045895574</v>
      </c>
      <c r="E192" s="3"/>
    </row>
    <row r="194" spans="1:5" x14ac:dyDescent="0.25">
      <c r="A194" s="1" t="s">
        <v>16</v>
      </c>
      <c r="B194" s="11">
        <f>CVar!L11</f>
        <v>-5.809548822680901E-2</v>
      </c>
    </row>
    <row r="196" spans="1:5" ht="30" x14ac:dyDescent="0.25">
      <c r="A196" s="1" t="s">
        <v>20</v>
      </c>
      <c r="B196" s="2">
        <f>AVERAGE(P2:P182)/ABS(AVERAGE(Q2:Q182))</f>
        <v>1.405068673357353</v>
      </c>
      <c r="D196" s="2">
        <f>AVERAGE(R2:R182)/ABS(AVERAGE(S2:S182))</f>
        <v>1.4077918181633566</v>
      </c>
    </row>
    <row r="198" spans="1:5" x14ac:dyDescent="0.25">
      <c r="A198" s="1" t="s">
        <v>26</v>
      </c>
      <c r="B198" s="56">
        <f>(AVERAGE(T2:T182)/_xlfn.STDEV.S(T2:T182))*SQRT(12)</f>
        <v>0.11356880688332176</v>
      </c>
      <c r="D198" s="42">
        <f>(AVERAGE(U2:U182)/_xlfn.STDEV.S(U2:U182))*SQRT(12)</f>
        <v>0.59417648340287865</v>
      </c>
      <c r="E198" s="42">
        <f>(AVERAGE(V2:V182)/_xlfn.STDEV.S(V2:V182))*SQRT(12)</f>
        <v>-3.0929343314071725E-2</v>
      </c>
    </row>
    <row r="200" spans="1:5" ht="30" x14ac:dyDescent="0.25">
      <c r="A200" s="1" t="s">
        <v>33</v>
      </c>
      <c r="B200" s="2">
        <f>((B188-C188)/X184)</f>
        <v>9.8444360859102215E-2</v>
      </c>
      <c r="D200" s="2">
        <f>((D188-C188)/Z184)</f>
        <v>0.97034991460391096</v>
      </c>
      <c r="E200" s="2">
        <f>((E188-C188)/AB184)</f>
        <v>-0.20453819491280725</v>
      </c>
    </row>
    <row r="202" spans="1:5" ht="30" x14ac:dyDescent="0.25">
      <c r="A202" s="1" t="s">
        <v>40</v>
      </c>
      <c r="B202" s="2">
        <f>B188/AD184</f>
        <v>1.7566067285911604</v>
      </c>
      <c r="D202" s="2">
        <f>D188/AF184</f>
        <v>2.3359299933390094</v>
      </c>
      <c r="E202" s="2">
        <f>E188/AH184</f>
        <v>0.47122956434274921</v>
      </c>
    </row>
    <row r="204" spans="1:5" ht="30" x14ac:dyDescent="0.25">
      <c r="A204" s="1" t="s">
        <v>41</v>
      </c>
      <c r="B204" s="2">
        <f>B200/SQRT(2)</f>
        <v>6.9610675133046709E-2</v>
      </c>
      <c r="D204" s="2">
        <f>D200/SQRT(2)</f>
        <v>0.68614100474021267</v>
      </c>
      <c r="E204" s="2">
        <f>E200/SQRT(2)</f>
        <v>-0.14463034463450181</v>
      </c>
    </row>
    <row r="206" spans="1:5" x14ac:dyDescent="0.25">
      <c r="A206" s="1" t="s">
        <v>46</v>
      </c>
      <c r="B206" s="52">
        <f>B188/ABS(B192)</f>
        <v>0.46711987262365284</v>
      </c>
      <c r="D206" s="52">
        <f>D188/ABS(D192)</f>
        <v>0.67032952488675068</v>
      </c>
    </row>
    <row r="207" spans="1:5" x14ac:dyDescent="0.25">
      <c r="A207" s="1" t="s">
        <v>47</v>
      </c>
      <c r="B207" s="52">
        <f>1/B206</f>
        <v>2.1407781141558835</v>
      </c>
      <c r="D207" s="52">
        <f>1/D206</f>
        <v>1.4918036023684706</v>
      </c>
    </row>
    <row r="209" spans="1:5" x14ac:dyDescent="0.25">
      <c r="A209" s="1" t="s">
        <v>44</v>
      </c>
      <c r="B209" s="2">
        <f>T184/U185</f>
        <v>0.18833378318174104</v>
      </c>
      <c r="D209" s="2">
        <v>1</v>
      </c>
      <c r="E209" s="2">
        <f>SLOPE(V2:V182,U2:U182)</f>
        <v>-0.10422686828311491</v>
      </c>
    </row>
    <row r="210" spans="1:5" x14ac:dyDescent="0.25">
      <c r="A210" s="1" t="s">
        <v>44</v>
      </c>
      <c r="B210" s="2">
        <f>SLOPE(T2:T182,U2:U182)</f>
        <v>0.18833378318174102</v>
      </c>
    </row>
    <row r="212" spans="1:5" x14ac:dyDescent="0.25">
      <c r="A212" s="1" t="s">
        <v>45</v>
      </c>
      <c r="B212" s="53">
        <f>((1+(T187-B209*U187))^12)-1</f>
        <v>-5.9244585075822753E-3</v>
      </c>
    </row>
    <row r="213" spans="1:5" x14ac:dyDescent="0.25">
      <c r="A213" s="1" t="s">
        <v>45</v>
      </c>
      <c r="B213" s="53">
        <f>((1+(INTERCEPT(T2:T182,U2:U182)))^12)-1</f>
        <v>-5.9244585075822753E-3</v>
      </c>
    </row>
    <row r="215" spans="1:5" ht="30" x14ac:dyDescent="0.25">
      <c r="A215" s="1" t="s">
        <v>49</v>
      </c>
      <c r="B215" s="3">
        <f>_xlfn.STDEV.S(AI2:AI182)*SQRT(12)</f>
        <v>0.16020289670770807</v>
      </c>
      <c r="E215" s="3">
        <f>_xlfn.STDEV.S(AJ2:AJ182)*SQRT(12)</f>
        <v>0.27253198861339001</v>
      </c>
    </row>
    <row r="217" spans="1:5" ht="30" x14ac:dyDescent="0.25">
      <c r="A217" s="1" t="s">
        <v>50</v>
      </c>
      <c r="B217" s="55">
        <f>(AVERAGE(AI2:AI182)*12)/B215</f>
        <v>-0.50832320704980505</v>
      </c>
      <c r="E217" s="55">
        <f>(AVERAGE(AJ2:AJ182)*12)/E215</f>
        <v>-0.3652701989575205</v>
      </c>
    </row>
  </sheetData>
  <autoFilter ref="A1:O182" xr:uid="{695E2C63-CFAD-4735-B42D-9836B3BF66DE}"/>
  <pageMargins left="0.511811024" right="0.511811024" top="0.78740157499999996" bottom="0.78740157499999996" header="0.31496062000000002" footer="0.31496062000000002"/>
  <ignoredErrors>
    <ignoredError sqref="Y2:Y182 AA2:AA182 Q2:Q182 AC2:AC182 AD2:AD182 AE2:AE182 AG2:AG182 R2:R182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62B7-AF48-4930-9263-34733587445B}">
  <dimension ref="A1:L191"/>
  <sheetViews>
    <sheetView workbookViewId="0">
      <pane xSplit="2" ySplit="1" topLeftCell="C164" activePane="bottomRight" state="frozen"/>
      <selection pane="topRight" activeCell="B1" sqref="B1"/>
      <selection pane="bottomLeft" activeCell="A2" sqref="A2"/>
      <selection pane="bottomRight" activeCell="K182" sqref="K182"/>
    </sheetView>
  </sheetViews>
  <sheetFormatPr defaultRowHeight="15" x14ac:dyDescent="0.25"/>
  <cols>
    <col min="1" max="1" width="12.5703125" style="2" bestFit="1" customWidth="1"/>
    <col min="2" max="2" width="13.42578125" style="2" bestFit="1" customWidth="1"/>
    <col min="3" max="3" width="9" style="2" bestFit="1" customWidth="1"/>
    <col min="4" max="4" width="15.7109375" style="2" bestFit="1" customWidth="1"/>
    <col min="5" max="5" width="13.7109375" style="2" bestFit="1" customWidth="1"/>
    <col min="6" max="6" width="12.85546875" style="2" bestFit="1" customWidth="1"/>
    <col min="7" max="7" width="12.5703125" style="2" bestFit="1" customWidth="1"/>
    <col min="8" max="8" width="19.42578125" style="2" bestFit="1" customWidth="1"/>
    <col min="9" max="9" width="17.28515625" style="2" bestFit="1" customWidth="1"/>
    <col min="10" max="11" width="9.140625" style="2"/>
    <col min="12" max="12" width="12.28515625" style="2" bestFit="1" customWidth="1"/>
    <col min="13" max="16384" width="9.140625" style="2"/>
  </cols>
  <sheetData>
    <row r="1" spans="1:12" x14ac:dyDescent="0.25">
      <c r="A1" s="4" t="s">
        <v>14</v>
      </c>
      <c r="B1" s="6" t="s">
        <v>0</v>
      </c>
      <c r="C1" s="4" t="s">
        <v>1</v>
      </c>
      <c r="D1" s="9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2">
        <f>COUNT($A$2:$A$182)</f>
        <v>181</v>
      </c>
      <c r="K1" s="2">
        <f>5%*J1</f>
        <v>9.0500000000000007</v>
      </c>
    </row>
    <row r="2" spans="1:12" x14ac:dyDescent="0.25">
      <c r="A2" s="5">
        <v>43891</v>
      </c>
      <c r="B2" s="7">
        <v>-0.11833142995366799</v>
      </c>
      <c r="C2" s="7">
        <v>3.4000000000000601E-3</v>
      </c>
      <c r="D2" s="7">
        <v>-1.3855924897019801E-2</v>
      </c>
      <c r="E2" s="7">
        <v>-0.29904388895288497</v>
      </c>
      <c r="F2" s="7">
        <f t="shared" ref="F2:F33" si="0">1+B2</f>
        <v>0.88166857004633203</v>
      </c>
      <c r="G2" s="7">
        <f t="shared" ref="G2:G33" si="1">1+C2</f>
        <v>1.0034000000000001</v>
      </c>
      <c r="H2" s="7">
        <f t="shared" ref="H2:H33" si="2">1+D2</f>
        <v>0.98614407510298019</v>
      </c>
      <c r="I2" s="7">
        <f t="shared" ref="I2:I33" si="3">1+E2</f>
        <v>0.70095611104711497</v>
      </c>
      <c r="K2" s="2">
        <v>1</v>
      </c>
    </row>
    <row r="3" spans="1:12" x14ac:dyDescent="0.25">
      <c r="A3" s="5">
        <v>44805</v>
      </c>
      <c r="B3" s="7">
        <v>-6.7174308524477797E-2</v>
      </c>
      <c r="C3" s="7">
        <v>1.0699999999999901E-2</v>
      </c>
      <c r="D3" s="7">
        <v>-5.13198987401354E-2</v>
      </c>
      <c r="E3" s="7">
        <v>4.6930781662299897E-3</v>
      </c>
      <c r="F3" s="7">
        <f t="shared" si="0"/>
        <v>0.93282569147552219</v>
      </c>
      <c r="G3" s="7">
        <f t="shared" si="1"/>
        <v>1.0106999999999999</v>
      </c>
      <c r="H3" s="7">
        <f t="shared" si="2"/>
        <v>0.94868010125986457</v>
      </c>
      <c r="I3" s="7">
        <f t="shared" si="3"/>
        <v>1.00469307816623</v>
      </c>
      <c r="K3" s="2">
        <v>2</v>
      </c>
    </row>
    <row r="4" spans="1:12" x14ac:dyDescent="0.25">
      <c r="A4" s="5">
        <v>44562</v>
      </c>
      <c r="B4" s="7">
        <v>-6.3689308112705706E-2</v>
      </c>
      <c r="C4" s="7">
        <v>7.3000000000000799E-3</v>
      </c>
      <c r="D4" s="7">
        <v>-7.4447128255034703E-2</v>
      </c>
      <c r="E4" s="7">
        <v>7.2179504302531894E-2</v>
      </c>
      <c r="F4" s="7">
        <f t="shared" si="0"/>
        <v>0.93631069188729432</v>
      </c>
      <c r="G4" s="7">
        <f t="shared" si="1"/>
        <v>1.0073000000000001</v>
      </c>
      <c r="H4" s="7">
        <f t="shared" si="2"/>
        <v>0.92555287174496526</v>
      </c>
      <c r="I4" s="7">
        <f t="shared" si="3"/>
        <v>1.0721795043025319</v>
      </c>
      <c r="K4" s="2">
        <v>3</v>
      </c>
    </row>
    <row r="5" spans="1:12" x14ac:dyDescent="0.25">
      <c r="A5" s="5">
        <v>45717</v>
      </c>
      <c r="B5" s="7">
        <v>-6.1060330232280698E-2</v>
      </c>
      <c r="C5" s="7">
        <v>9.6000000000000495E-3</v>
      </c>
      <c r="D5" s="7">
        <v>-5.1642338845439603E-2</v>
      </c>
      <c r="E5" s="7">
        <v>6.0757823760779699E-2</v>
      </c>
      <c r="F5" s="7">
        <f t="shared" si="0"/>
        <v>0.93893966976771925</v>
      </c>
      <c r="G5" s="7">
        <f t="shared" si="1"/>
        <v>1.0096000000000001</v>
      </c>
      <c r="H5" s="7">
        <f t="shared" si="2"/>
        <v>0.94835766115456044</v>
      </c>
      <c r="I5" s="7">
        <f t="shared" si="3"/>
        <v>1.0607578237607798</v>
      </c>
      <c r="K5" s="2">
        <v>4</v>
      </c>
    </row>
    <row r="6" spans="1:12" x14ac:dyDescent="0.25">
      <c r="A6" s="5">
        <v>41883</v>
      </c>
      <c r="B6" s="7">
        <v>-5.5494215022073599E-2</v>
      </c>
      <c r="C6" s="7">
        <v>8.99999999999989E-3</v>
      </c>
      <c r="D6" s="7">
        <v>5.3431526418227397E-2</v>
      </c>
      <c r="E6" s="7">
        <v>-0.117021276595744</v>
      </c>
      <c r="F6" s="7">
        <f t="shared" si="0"/>
        <v>0.94450578497792637</v>
      </c>
      <c r="G6" s="7">
        <f t="shared" si="1"/>
        <v>1.0089999999999999</v>
      </c>
      <c r="H6" s="7">
        <f t="shared" si="2"/>
        <v>1.0534315264182275</v>
      </c>
      <c r="I6" s="7">
        <f t="shared" si="3"/>
        <v>0.88297872340425598</v>
      </c>
      <c r="K6" s="2">
        <v>5</v>
      </c>
    </row>
    <row r="7" spans="1:12" x14ac:dyDescent="0.25">
      <c r="A7" s="5">
        <v>43221</v>
      </c>
      <c r="B7" s="7">
        <v>-4.9221570200544101E-2</v>
      </c>
      <c r="C7" s="7">
        <v>5.20000000000009E-3</v>
      </c>
      <c r="D7" s="7">
        <v>8.2456232889530606E-2</v>
      </c>
      <c r="E7" s="7">
        <v>-0.108703477907449</v>
      </c>
      <c r="F7" s="7">
        <f t="shared" si="0"/>
        <v>0.95077842979945593</v>
      </c>
      <c r="G7" s="7">
        <f t="shared" si="1"/>
        <v>1.0052000000000001</v>
      </c>
      <c r="H7" s="7">
        <f t="shared" si="2"/>
        <v>1.0824562328895306</v>
      </c>
      <c r="I7" s="7">
        <f t="shared" si="3"/>
        <v>0.89129652209255106</v>
      </c>
      <c r="K7" s="2">
        <v>6</v>
      </c>
    </row>
    <row r="8" spans="1:12" x14ac:dyDescent="0.25">
      <c r="A8" s="5">
        <v>44652</v>
      </c>
      <c r="B8" s="7">
        <v>-4.4148350563679599E-2</v>
      </c>
      <c r="C8" s="7">
        <v>8.2999999999999706E-3</v>
      </c>
      <c r="D8" s="7">
        <v>-3.9852331574155103E-2</v>
      </c>
      <c r="E8" s="7">
        <v>-0.10102584188201499</v>
      </c>
      <c r="F8" s="7">
        <f t="shared" si="0"/>
        <v>0.95585164943632039</v>
      </c>
      <c r="G8" s="7">
        <f t="shared" si="1"/>
        <v>1.0083</v>
      </c>
      <c r="H8" s="7">
        <f t="shared" si="2"/>
        <v>0.96014766842584487</v>
      </c>
      <c r="I8" s="7">
        <f t="shared" si="3"/>
        <v>0.89897415811798498</v>
      </c>
      <c r="K8" s="2">
        <v>7</v>
      </c>
    </row>
    <row r="9" spans="1:12" x14ac:dyDescent="0.25">
      <c r="A9" s="5">
        <v>41974</v>
      </c>
      <c r="B9" s="7">
        <v>-4.1187791422391297E-2</v>
      </c>
      <c r="C9" s="7">
        <v>9.6000000000000495E-3</v>
      </c>
      <c r="D9" s="7">
        <v>2.29882681419908E-2</v>
      </c>
      <c r="E9" s="7">
        <v>-8.51931801551295E-2</v>
      </c>
      <c r="F9" s="7">
        <f t="shared" si="0"/>
        <v>0.95881220857760874</v>
      </c>
      <c r="G9" s="7">
        <f t="shared" si="1"/>
        <v>1.0096000000000001</v>
      </c>
      <c r="H9" s="7">
        <f t="shared" si="2"/>
        <v>1.0229882681419908</v>
      </c>
      <c r="I9" s="7">
        <f t="shared" si="3"/>
        <v>0.91480681984487044</v>
      </c>
      <c r="K9" s="2">
        <v>8</v>
      </c>
    </row>
    <row r="10" spans="1:12" x14ac:dyDescent="0.25">
      <c r="A10" s="5">
        <v>45200</v>
      </c>
      <c r="B10" s="7">
        <v>-4.0825514933976903E-2</v>
      </c>
      <c r="C10" s="7">
        <v>0.01</v>
      </c>
      <c r="D10" s="7">
        <v>-2.2260240071553201E-2</v>
      </c>
      <c r="E10" s="7">
        <v>-2.93484322052074E-2</v>
      </c>
      <c r="F10" s="7">
        <f t="shared" si="0"/>
        <v>0.9591744850660231</v>
      </c>
      <c r="G10" s="7">
        <f t="shared" si="1"/>
        <v>1.01</v>
      </c>
      <c r="H10" s="7">
        <f t="shared" si="2"/>
        <v>0.97773975992844675</v>
      </c>
      <c r="I10" s="7">
        <f t="shared" si="3"/>
        <v>0.97065156779479256</v>
      </c>
      <c r="K10" s="2">
        <v>9</v>
      </c>
    </row>
    <row r="11" spans="1:12" x14ac:dyDescent="0.25">
      <c r="A11" s="5">
        <v>41426</v>
      </c>
      <c r="B11" s="7">
        <v>-3.9822063302292397E-2</v>
      </c>
      <c r="C11" s="7">
        <v>5.9000000000000103E-3</v>
      </c>
      <c r="D11" s="7">
        <v>2.28067570488721E-3</v>
      </c>
      <c r="E11" s="7">
        <v>-0.113052741748588</v>
      </c>
      <c r="F11" s="7">
        <f t="shared" si="0"/>
        <v>0.96017793669770757</v>
      </c>
      <c r="G11" s="7">
        <f t="shared" si="1"/>
        <v>1.0059</v>
      </c>
      <c r="H11" s="7">
        <f t="shared" si="2"/>
        <v>1.0022806757048872</v>
      </c>
      <c r="I11" s="7">
        <f t="shared" si="3"/>
        <v>0.88694725825141196</v>
      </c>
      <c r="K11" s="2">
        <v>10</v>
      </c>
      <c r="L11" s="10">
        <f>AVERAGE(B2:B11)</f>
        <v>-5.809548822680901E-2</v>
      </c>
    </row>
    <row r="12" spans="1:12" x14ac:dyDescent="0.25">
      <c r="A12" s="5">
        <v>44682</v>
      </c>
      <c r="B12" s="7">
        <v>-3.9135413392662403E-2</v>
      </c>
      <c r="C12" s="7">
        <v>1.02999999999999E-2</v>
      </c>
      <c r="D12" s="7">
        <v>-3.91157043415346E-2</v>
      </c>
      <c r="E12" s="7">
        <v>3.2212911120174902E-2</v>
      </c>
      <c r="F12" s="7">
        <f t="shared" si="0"/>
        <v>0.96086458660733765</v>
      </c>
      <c r="G12" s="7">
        <f t="shared" si="1"/>
        <v>1.0103</v>
      </c>
      <c r="H12" s="7">
        <f t="shared" si="2"/>
        <v>0.96088429565846545</v>
      </c>
      <c r="I12" s="7">
        <f t="shared" si="3"/>
        <v>1.032212911120175</v>
      </c>
    </row>
    <row r="13" spans="1:12" x14ac:dyDescent="0.25">
      <c r="A13" s="5">
        <v>42217</v>
      </c>
      <c r="B13" s="7">
        <v>-3.2686265753451002E-2</v>
      </c>
      <c r="C13" s="7">
        <v>1.1100000000000099E-2</v>
      </c>
      <c r="D13" s="7">
        <v>-8.7241648835591993E-3</v>
      </c>
      <c r="E13" s="7">
        <v>-8.3338248304335005E-2</v>
      </c>
      <c r="F13" s="7">
        <f t="shared" si="0"/>
        <v>0.96731373424654898</v>
      </c>
      <c r="G13" s="7">
        <f t="shared" si="1"/>
        <v>1.0111000000000001</v>
      </c>
      <c r="H13" s="7">
        <f t="shared" si="2"/>
        <v>0.9912758351164408</v>
      </c>
      <c r="I13" s="7">
        <f t="shared" si="3"/>
        <v>0.91666175169566499</v>
      </c>
    </row>
    <row r="14" spans="1:12" x14ac:dyDescent="0.25">
      <c r="A14" s="5">
        <v>41640</v>
      </c>
      <c r="B14" s="7">
        <v>-3.2485194993333098E-2</v>
      </c>
      <c r="C14" s="7">
        <v>8.3999999999999596E-3</v>
      </c>
      <c r="D14" s="7">
        <v>-1.8070761308932901E-2</v>
      </c>
      <c r="E14" s="7">
        <v>-7.5096588813170995E-2</v>
      </c>
      <c r="F14" s="7">
        <f t="shared" si="0"/>
        <v>0.96751480500666687</v>
      </c>
      <c r="G14" s="7">
        <f t="shared" si="1"/>
        <v>1.0084</v>
      </c>
      <c r="H14" s="7">
        <f t="shared" si="2"/>
        <v>0.98192923869106707</v>
      </c>
      <c r="I14" s="7">
        <f t="shared" si="3"/>
        <v>0.92490341118682906</v>
      </c>
    </row>
    <row r="15" spans="1:12" x14ac:dyDescent="0.25">
      <c r="A15" s="5">
        <v>44593</v>
      </c>
      <c r="B15" s="7">
        <v>-3.1030334317594499E-2</v>
      </c>
      <c r="C15" s="7">
        <v>7.6000000000000503E-3</v>
      </c>
      <c r="D15" s="7">
        <v>-6.4546847579265404E-2</v>
      </c>
      <c r="E15" s="7">
        <v>6.7089013061891701E-3</v>
      </c>
      <c r="F15" s="7">
        <f t="shared" si="0"/>
        <v>0.9689696656824055</v>
      </c>
      <c r="G15" s="7">
        <f t="shared" si="1"/>
        <v>1.0076000000000001</v>
      </c>
      <c r="H15" s="7">
        <f t="shared" si="2"/>
        <v>0.93545315242073457</v>
      </c>
      <c r="I15" s="7">
        <f t="shared" si="3"/>
        <v>1.0067089013061892</v>
      </c>
    </row>
    <row r="16" spans="1:12" x14ac:dyDescent="0.25">
      <c r="A16" s="5">
        <v>42125</v>
      </c>
      <c r="B16" s="7">
        <v>-2.94387323706083E-2</v>
      </c>
      <c r="C16" s="7">
        <v>9.8000000000000292E-3</v>
      </c>
      <c r="D16" s="7">
        <v>7.32218367523505E-2</v>
      </c>
      <c r="E16" s="7">
        <v>-6.1694143591385198E-2</v>
      </c>
      <c r="F16" s="7">
        <f t="shared" si="0"/>
        <v>0.97056126762939166</v>
      </c>
      <c r="G16" s="7">
        <f t="shared" si="1"/>
        <v>1.0098</v>
      </c>
      <c r="H16" s="7">
        <f t="shared" si="2"/>
        <v>1.0732218367523505</v>
      </c>
      <c r="I16" s="7">
        <f t="shared" si="3"/>
        <v>0.93830585640861486</v>
      </c>
    </row>
    <row r="17" spans="1:9" x14ac:dyDescent="0.25">
      <c r="A17" s="5">
        <v>44075</v>
      </c>
      <c r="B17" s="7">
        <v>-2.9332886759215901E-2</v>
      </c>
      <c r="C17" s="7">
        <v>1.60000000000004E-3</v>
      </c>
      <c r="D17" s="7">
        <v>8.9610365555008401E-3</v>
      </c>
      <c r="E17" s="7">
        <v>-4.79626442854411E-2</v>
      </c>
      <c r="F17" s="7">
        <f t="shared" si="0"/>
        <v>0.97066711324078414</v>
      </c>
      <c r="G17" s="7">
        <f t="shared" si="1"/>
        <v>1.0016</v>
      </c>
      <c r="H17" s="7">
        <f t="shared" si="2"/>
        <v>1.0089610365555008</v>
      </c>
      <c r="I17" s="7">
        <f t="shared" si="3"/>
        <v>0.95203735571455894</v>
      </c>
    </row>
    <row r="18" spans="1:9" x14ac:dyDescent="0.25">
      <c r="A18" s="5">
        <v>40725</v>
      </c>
      <c r="B18" s="7">
        <v>-2.6598750913695301E-2</v>
      </c>
      <c r="C18" s="7">
        <v>9.7000000000000402E-3</v>
      </c>
      <c r="D18" s="7">
        <v>-2.5828320221473501E-2</v>
      </c>
      <c r="E18" s="7">
        <v>-5.7384142042176699E-2</v>
      </c>
      <c r="F18" s="7">
        <f t="shared" si="0"/>
        <v>0.97340124908630465</v>
      </c>
      <c r="G18" s="7">
        <f t="shared" si="1"/>
        <v>1.0097</v>
      </c>
      <c r="H18" s="7">
        <f t="shared" si="2"/>
        <v>0.97417167977852648</v>
      </c>
      <c r="I18" s="7">
        <f t="shared" si="3"/>
        <v>0.94261585795782332</v>
      </c>
    </row>
    <row r="19" spans="1:9" x14ac:dyDescent="0.25">
      <c r="A19" s="5">
        <v>45170</v>
      </c>
      <c r="B19" s="7">
        <v>-2.5517366288746599E-2</v>
      </c>
      <c r="C19" s="7">
        <v>9.7000000000000402E-3</v>
      </c>
      <c r="D19" s="7">
        <v>-1.8665964650299301E-2</v>
      </c>
      <c r="E19" s="7">
        <v>7.1106426362081898E-3</v>
      </c>
      <c r="F19" s="7">
        <f t="shared" si="0"/>
        <v>0.97448263371125343</v>
      </c>
      <c r="G19" s="7">
        <f t="shared" si="1"/>
        <v>1.0097</v>
      </c>
      <c r="H19" s="7">
        <f t="shared" si="2"/>
        <v>0.98133403534970065</v>
      </c>
      <c r="I19" s="7">
        <f t="shared" si="3"/>
        <v>1.0071106426362082</v>
      </c>
    </row>
    <row r="20" spans="1:9" x14ac:dyDescent="0.25">
      <c r="A20" s="5">
        <v>43862</v>
      </c>
      <c r="B20" s="7">
        <v>-2.53114452762606E-2</v>
      </c>
      <c r="C20" s="7">
        <v>2.8999999999999001E-3</v>
      </c>
      <c r="D20" s="7">
        <v>-2.23137738984425E-2</v>
      </c>
      <c r="E20" s="7">
        <v>-8.4290749905503601E-2</v>
      </c>
      <c r="F20" s="7">
        <f t="shared" si="0"/>
        <v>0.97468855472373939</v>
      </c>
      <c r="G20" s="7">
        <f t="shared" si="1"/>
        <v>1.0028999999999999</v>
      </c>
      <c r="H20" s="7">
        <f t="shared" si="2"/>
        <v>0.97768622610155753</v>
      </c>
      <c r="I20" s="7">
        <f t="shared" si="3"/>
        <v>0.91570925009449644</v>
      </c>
    </row>
    <row r="21" spans="1:9" x14ac:dyDescent="0.25">
      <c r="A21" s="5">
        <v>42856</v>
      </c>
      <c r="B21" s="7">
        <v>-2.2026978511068E-2</v>
      </c>
      <c r="C21" s="7">
        <v>9.3000000000000808E-3</v>
      </c>
      <c r="D21" s="7">
        <v>4.51731090821176E-2</v>
      </c>
      <c r="E21" s="7">
        <v>-4.1160191428527698E-2</v>
      </c>
      <c r="F21" s="7">
        <f t="shared" si="0"/>
        <v>0.97797302148893195</v>
      </c>
      <c r="G21" s="7">
        <f t="shared" si="1"/>
        <v>1.0093000000000001</v>
      </c>
      <c r="H21" s="7">
        <f t="shared" si="2"/>
        <v>1.0451731090821177</v>
      </c>
      <c r="I21" s="7">
        <f t="shared" si="3"/>
        <v>0.95883980857147233</v>
      </c>
    </row>
    <row r="22" spans="1:9" x14ac:dyDescent="0.25">
      <c r="A22" s="5">
        <v>40756</v>
      </c>
      <c r="B22" s="7">
        <v>-2.1852212299188399E-2</v>
      </c>
      <c r="C22" s="7">
        <v>1.0699999999999901E-2</v>
      </c>
      <c r="D22" s="7">
        <v>-5.84541798184905E-2</v>
      </c>
      <c r="E22" s="7">
        <v>-3.9576356187205598E-2</v>
      </c>
      <c r="F22" s="7">
        <f t="shared" si="0"/>
        <v>0.97814778770081157</v>
      </c>
      <c r="G22" s="7">
        <f t="shared" si="1"/>
        <v>1.0106999999999999</v>
      </c>
      <c r="H22" s="7">
        <f t="shared" si="2"/>
        <v>0.94154582018150945</v>
      </c>
      <c r="I22" s="7">
        <f t="shared" si="3"/>
        <v>0.96042364381279444</v>
      </c>
    </row>
    <row r="23" spans="1:9" x14ac:dyDescent="0.25">
      <c r="A23" s="5">
        <v>44774</v>
      </c>
      <c r="B23" s="7">
        <v>-2.15708028541063E-2</v>
      </c>
      <c r="C23" s="7">
        <v>1.17E-2</v>
      </c>
      <c r="D23" s="7">
        <v>-4.95995135052269E-2</v>
      </c>
      <c r="E23" s="7">
        <v>6.1629428585276001E-2</v>
      </c>
      <c r="F23" s="7">
        <f t="shared" si="0"/>
        <v>0.97842919714589371</v>
      </c>
      <c r="G23" s="7">
        <f t="shared" si="1"/>
        <v>1.0117</v>
      </c>
      <c r="H23" s="7">
        <f t="shared" si="2"/>
        <v>0.95040048649477304</v>
      </c>
      <c r="I23" s="7">
        <f t="shared" si="3"/>
        <v>1.0616294285852761</v>
      </c>
    </row>
    <row r="24" spans="1:9" x14ac:dyDescent="0.25">
      <c r="A24" s="5">
        <v>40634</v>
      </c>
      <c r="B24" s="7">
        <v>-2.1506382157375398E-2</v>
      </c>
      <c r="C24" s="7">
        <v>8.3999999999999596E-3</v>
      </c>
      <c r="D24" s="7">
        <v>1.6480558731310602E-2</v>
      </c>
      <c r="E24" s="7">
        <v>-3.5779375100237598E-2</v>
      </c>
      <c r="F24" s="7">
        <f t="shared" si="0"/>
        <v>0.97849361784262456</v>
      </c>
      <c r="G24" s="7">
        <f t="shared" si="1"/>
        <v>1.0084</v>
      </c>
      <c r="H24" s="7">
        <f t="shared" si="2"/>
        <v>1.0164805587313106</v>
      </c>
      <c r="I24" s="7">
        <f t="shared" si="3"/>
        <v>0.96422062489976246</v>
      </c>
    </row>
    <row r="25" spans="1:9" x14ac:dyDescent="0.25">
      <c r="A25" s="5">
        <v>44501</v>
      </c>
      <c r="B25" s="7">
        <v>-2.1330952244587201E-2</v>
      </c>
      <c r="C25" s="7">
        <v>5.9000000000000103E-3</v>
      </c>
      <c r="D25" s="7">
        <v>-3.1855305061568397E-2</v>
      </c>
      <c r="E25" s="7">
        <v>-1.5323523444217901E-2</v>
      </c>
      <c r="F25" s="7">
        <f t="shared" si="0"/>
        <v>0.97866904775541275</v>
      </c>
      <c r="G25" s="7">
        <f t="shared" si="1"/>
        <v>1.0059</v>
      </c>
      <c r="H25" s="7">
        <f t="shared" si="2"/>
        <v>0.96814469493843158</v>
      </c>
      <c r="I25" s="7">
        <f t="shared" si="3"/>
        <v>0.98467647655578205</v>
      </c>
    </row>
    <row r="26" spans="1:9" x14ac:dyDescent="0.25">
      <c r="A26" s="5">
        <v>43252</v>
      </c>
      <c r="B26" s="7">
        <v>-2.0779007368404399E-2</v>
      </c>
      <c r="C26" s="7">
        <v>5.20000000000009E-3</v>
      </c>
      <c r="D26" s="7">
        <v>2.31096257289049E-2</v>
      </c>
      <c r="E26" s="7">
        <v>-5.1997290043515602E-2</v>
      </c>
      <c r="F26" s="7">
        <f t="shared" si="0"/>
        <v>0.97922099263159557</v>
      </c>
      <c r="G26" s="7">
        <f t="shared" si="1"/>
        <v>1.0052000000000001</v>
      </c>
      <c r="H26" s="7">
        <f t="shared" si="2"/>
        <v>1.023109625728905</v>
      </c>
      <c r="I26" s="7">
        <f t="shared" si="3"/>
        <v>0.94800270995648439</v>
      </c>
    </row>
    <row r="27" spans="1:9" x14ac:dyDescent="0.25">
      <c r="A27" s="5">
        <v>45658</v>
      </c>
      <c r="B27" s="7">
        <v>-2.0550296327777599E-2</v>
      </c>
      <c r="C27" s="7">
        <v>1.0099999999999901E-2</v>
      </c>
      <c r="D27" s="7">
        <v>-1.2717854610923601E-2</v>
      </c>
      <c r="E27" s="7">
        <v>4.8651929200302702E-2</v>
      </c>
      <c r="F27" s="7">
        <f t="shared" si="0"/>
        <v>0.97944970367222239</v>
      </c>
      <c r="G27" s="7">
        <f t="shared" si="1"/>
        <v>1.0101</v>
      </c>
      <c r="H27" s="7">
        <f t="shared" si="2"/>
        <v>0.98728214538907644</v>
      </c>
      <c r="I27" s="7">
        <f t="shared" si="3"/>
        <v>1.0486519292003027</v>
      </c>
    </row>
    <row r="28" spans="1:9" x14ac:dyDescent="0.25">
      <c r="A28" s="5">
        <v>44621</v>
      </c>
      <c r="B28" s="7">
        <v>-2.0289630408269099E-2</v>
      </c>
      <c r="C28" s="7">
        <v>9.3000000000000808E-3</v>
      </c>
      <c r="D28" s="7">
        <v>-6.0506095715181799E-2</v>
      </c>
      <c r="E28" s="7">
        <v>6.0605257110533703E-2</v>
      </c>
      <c r="F28" s="7">
        <f t="shared" si="0"/>
        <v>0.97971036959173086</v>
      </c>
      <c r="G28" s="7">
        <f t="shared" si="1"/>
        <v>1.0093000000000001</v>
      </c>
      <c r="H28" s="7">
        <f t="shared" si="2"/>
        <v>0.93949390428481816</v>
      </c>
      <c r="I28" s="7">
        <f t="shared" si="3"/>
        <v>1.0606052571105338</v>
      </c>
    </row>
    <row r="29" spans="1:9" x14ac:dyDescent="0.25">
      <c r="A29" s="5">
        <v>41000</v>
      </c>
      <c r="B29" s="7">
        <v>-1.7138405377336199E-2</v>
      </c>
      <c r="C29" s="7">
        <v>6.99999999999989E-3</v>
      </c>
      <c r="D29" s="7">
        <v>2.1725618451419099E-2</v>
      </c>
      <c r="E29" s="7">
        <v>-4.1713816248391697E-2</v>
      </c>
      <c r="F29" s="7">
        <f t="shared" si="0"/>
        <v>0.98286159462266376</v>
      </c>
      <c r="G29" s="7">
        <f t="shared" si="1"/>
        <v>1.0069999999999999</v>
      </c>
      <c r="H29" s="7">
        <f t="shared" si="2"/>
        <v>1.0217256184514192</v>
      </c>
      <c r="I29" s="7">
        <f t="shared" si="3"/>
        <v>0.95828618375160834</v>
      </c>
    </row>
    <row r="30" spans="1:9" x14ac:dyDescent="0.25">
      <c r="A30" s="5">
        <v>44986</v>
      </c>
      <c r="B30" s="7">
        <v>-1.53619139570071E-2</v>
      </c>
      <c r="C30" s="7">
        <v>1.17E-2</v>
      </c>
      <c r="D30" s="7">
        <v>4.0627780657993499E-3</v>
      </c>
      <c r="E30" s="7">
        <v>-2.9066443029771599E-2</v>
      </c>
      <c r="F30" s="7">
        <f t="shared" si="0"/>
        <v>0.98463808604299285</v>
      </c>
      <c r="G30" s="7">
        <f t="shared" si="1"/>
        <v>1.0117</v>
      </c>
      <c r="H30" s="7">
        <f t="shared" si="2"/>
        <v>1.0040627780657994</v>
      </c>
      <c r="I30" s="7">
        <f t="shared" si="3"/>
        <v>0.97093355697022843</v>
      </c>
    </row>
    <row r="31" spans="1:9" x14ac:dyDescent="0.25">
      <c r="A31" s="5">
        <v>41030</v>
      </c>
      <c r="B31" s="7">
        <v>-1.5188533818497701E-2</v>
      </c>
      <c r="C31" s="7">
        <v>7.3000000000000799E-3</v>
      </c>
      <c r="D31" s="7">
        <v>-2.7066940933511498E-2</v>
      </c>
      <c r="E31" s="7">
        <v>-0.11857004205758601</v>
      </c>
      <c r="F31" s="7">
        <f t="shared" si="0"/>
        <v>0.98481146618150228</v>
      </c>
      <c r="G31" s="7">
        <f t="shared" si="1"/>
        <v>1.0073000000000001</v>
      </c>
      <c r="H31" s="7">
        <f t="shared" si="2"/>
        <v>0.97293305906648853</v>
      </c>
      <c r="I31" s="7">
        <f t="shared" si="3"/>
        <v>0.88142995794241397</v>
      </c>
    </row>
    <row r="32" spans="1:9" x14ac:dyDescent="0.25">
      <c r="A32" s="5">
        <v>44896</v>
      </c>
      <c r="B32" s="7">
        <v>-1.3564422542237499E-2</v>
      </c>
      <c r="C32" s="7">
        <v>1.12E-2</v>
      </c>
      <c r="D32" s="7">
        <v>-4.8750671846288798E-2</v>
      </c>
      <c r="E32" s="7">
        <v>-2.1824938214533299E-2</v>
      </c>
      <c r="F32" s="7">
        <f t="shared" si="0"/>
        <v>0.98643557745776245</v>
      </c>
      <c r="G32" s="7">
        <f t="shared" si="1"/>
        <v>1.0112000000000001</v>
      </c>
      <c r="H32" s="7">
        <f t="shared" si="2"/>
        <v>0.95124932815371122</v>
      </c>
      <c r="I32" s="7">
        <f t="shared" si="3"/>
        <v>0.97817506178546665</v>
      </c>
    </row>
    <row r="33" spans="1:9" x14ac:dyDescent="0.25">
      <c r="A33" s="5">
        <v>40544</v>
      </c>
      <c r="B33" s="7">
        <v>-1.3531206601987301E-2</v>
      </c>
      <c r="C33" s="7">
        <v>8.5999999999999393E-3</v>
      </c>
      <c r="D33" s="7">
        <v>1.64595747851181E-2</v>
      </c>
      <c r="E33" s="7">
        <v>-3.93910973234253E-2</v>
      </c>
      <c r="F33" s="7">
        <f t="shared" si="0"/>
        <v>0.98646879339801274</v>
      </c>
      <c r="G33" s="7">
        <f t="shared" si="1"/>
        <v>1.0085999999999999</v>
      </c>
      <c r="H33" s="7">
        <f t="shared" si="2"/>
        <v>1.0164595747851182</v>
      </c>
      <c r="I33" s="7">
        <f t="shared" si="3"/>
        <v>0.96060890267657473</v>
      </c>
    </row>
    <row r="34" spans="1:9" x14ac:dyDescent="0.25">
      <c r="A34" s="5">
        <v>40694</v>
      </c>
      <c r="B34" s="7">
        <v>-1.2199443604901701E-2</v>
      </c>
      <c r="C34" s="7">
        <v>9.9000000000000199E-3</v>
      </c>
      <c r="D34" s="7">
        <v>-1.8550999534406299E-2</v>
      </c>
      <c r="E34" s="7">
        <v>-2.2878139506751501E-2</v>
      </c>
      <c r="F34" s="7">
        <f t="shared" ref="F34:F65" si="4">1+B34</f>
        <v>0.98780055639509834</v>
      </c>
      <c r="G34" s="7">
        <f t="shared" ref="G34:G65" si="5">1+C34</f>
        <v>1.0099</v>
      </c>
      <c r="H34" s="7">
        <f t="shared" ref="H34:H65" si="6">1+D34</f>
        <v>0.98144900046559369</v>
      </c>
      <c r="I34" s="7">
        <f t="shared" ref="I34:I65" si="7">1+E34</f>
        <v>0.97712186049324845</v>
      </c>
    </row>
    <row r="35" spans="1:9" x14ac:dyDescent="0.25">
      <c r="A35" s="5">
        <v>43040</v>
      </c>
      <c r="B35" s="7">
        <v>-1.18255491777466E-2</v>
      </c>
      <c r="C35" s="7">
        <v>5.7000000000000297E-3</v>
      </c>
      <c r="D35" s="7">
        <v>5.7990264236049598E-3</v>
      </c>
      <c r="E35" s="7">
        <v>-3.1450180330516199E-2</v>
      </c>
      <c r="F35" s="7">
        <f t="shared" si="4"/>
        <v>0.98817445082225341</v>
      </c>
      <c r="G35" s="7">
        <f t="shared" si="5"/>
        <v>1.0057</v>
      </c>
      <c r="H35" s="7">
        <f t="shared" si="6"/>
        <v>1.005799026423605</v>
      </c>
      <c r="I35" s="7">
        <f t="shared" si="7"/>
        <v>0.96854981966948384</v>
      </c>
    </row>
    <row r="36" spans="1:9" x14ac:dyDescent="0.25">
      <c r="A36" s="5">
        <v>41306</v>
      </c>
      <c r="B36" s="7">
        <v>-1.1678277898832501E-2</v>
      </c>
      <c r="C36" s="7">
        <v>4.7999999999999102E-3</v>
      </c>
      <c r="D36" s="7">
        <v>-1.00822688609019E-2</v>
      </c>
      <c r="E36" s="7">
        <v>-3.9105771322434299E-2</v>
      </c>
      <c r="F36" s="7">
        <f t="shared" si="4"/>
        <v>0.98832172210116753</v>
      </c>
      <c r="G36" s="7">
        <f t="shared" si="5"/>
        <v>1.0047999999999999</v>
      </c>
      <c r="H36" s="7">
        <f t="shared" si="6"/>
        <v>0.98991773113909809</v>
      </c>
      <c r="I36" s="7">
        <f t="shared" si="7"/>
        <v>0.96089422867756569</v>
      </c>
    </row>
    <row r="37" spans="1:9" x14ac:dyDescent="0.25">
      <c r="A37" s="5">
        <v>41609</v>
      </c>
      <c r="B37" s="7">
        <v>-1.0473983763504601E-2</v>
      </c>
      <c r="C37" s="7">
        <v>7.8000000000000196E-3</v>
      </c>
      <c r="D37" s="7">
        <v>2.7800378298885299E-2</v>
      </c>
      <c r="E37" s="7">
        <v>-1.85777981022065E-2</v>
      </c>
      <c r="F37" s="7">
        <f t="shared" si="4"/>
        <v>0.98952601623649539</v>
      </c>
      <c r="G37" s="7">
        <f t="shared" si="5"/>
        <v>1.0078</v>
      </c>
      <c r="H37" s="7">
        <f t="shared" si="6"/>
        <v>1.0278003782988854</v>
      </c>
      <c r="I37" s="7">
        <f t="shared" si="7"/>
        <v>0.9814222018977935</v>
      </c>
    </row>
    <row r="38" spans="1:9" x14ac:dyDescent="0.25">
      <c r="A38" s="5">
        <v>42005</v>
      </c>
      <c r="B38" s="7">
        <v>-9.4550639303174703E-3</v>
      </c>
      <c r="C38" s="7">
        <v>9.3000000000000808E-3</v>
      </c>
      <c r="D38" s="7">
        <v>-9.2349792159729296E-4</v>
      </c>
      <c r="E38" s="7">
        <v>-6.1971324014637799E-2</v>
      </c>
      <c r="F38" s="7">
        <f t="shared" si="4"/>
        <v>0.99054493606968252</v>
      </c>
      <c r="G38" s="7">
        <f t="shared" si="5"/>
        <v>1.0093000000000001</v>
      </c>
      <c r="H38" s="7">
        <f t="shared" si="6"/>
        <v>0.99907650207840271</v>
      </c>
      <c r="I38" s="7">
        <f t="shared" si="7"/>
        <v>0.93802867598536221</v>
      </c>
    </row>
    <row r="39" spans="1:9" x14ac:dyDescent="0.25">
      <c r="A39" s="5">
        <v>41334</v>
      </c>
      <c r="B39" s="7">
        <v>-9.0259624504325196E-3</v>
      </c>
      <c r="C39" s="7">
        <v>5.4000000000000697E-3</v>
      </c>
      <c r="D39" s="7">
        <v>4.3344124160208601E-2</v>
      </c>
      <c r="E39" s="7">
        <v>-1.86681526887712E-2</v>
      </c>
      <c r="F39" s="7">
        <f t="shared" si="4"/>
        <v>0.99097403754956748</v>
      </c>
      <c r="G39" s="7">
        <f t="shared" si="5"/>
        <v>1.0054000000000001</v>
      </c>
      <c r="H39" s="7">
        <f t="shared" si="6"/>
        <v>1.0433441241602086</v>
      </c>
      <c r="I39" s="7">
        <f t="shared" si="7"/>
        <v>0.9813318473112288</v>
      </c>
    </row>
    <row r="40" spans="1:9" x14ac:dyDescent="0.25">
      <c r="A40" s="5">
        <v>44713</v>
      </c>
      <c r="B40" s="7">
        <v>-8.4050373326021097E-3</v>
      </c>
      <c r="C40" s="7">
        <v>1.01999999999999E-2</v>
      </c>
      <c r="D40" s="7">
        <v>-5.5084434486708496E-3</v>
      </c>
      <c r="E40" s="7">
        <v>-0.11503264452048</v>
      </c>
      <c r="F40" s="7">
        <f t="shared" si="4"/>
        <v>0.99159496266739788</v>
      </c>
      <c r="G40" s="7">
        <f t="shared" si="5"/>
        <v>1.0102</v>
      </c>
      <c r="H40" s="7">
        <f t="shared" si="6"/>
        <v>0.99449155655132915</v>
      </c>
      <c r="I40" s="7">
        <f t="shared" si="7"/>
        <v>0.88496735547951999</v>
      </c>
    </row>
    <row r="41" spans="1:9" x14ac:dyDescent="0.25">
      <c r="A41" s="5">
        <v>42491</v>
      </c>
      <c r="B41" s="7">
        <v>-8.1174701529842502E-3</v>
      </c>
      <c r="C41" s="7">
        <v>1.1100000000000099E-2</v>
      </c>
      <c r="D41" s="7">
        <v>4.5987039592061102E-2</v>
      </c>
      <c r="E41" s="7">
        <v>-0.100888501419005</v>
      </c>
      <c r="F41" s="7">
        <f t="shared" si="4"/>
        <v>0.99188252984701575</v>
      </c>
      <c r="G41" s="7">
        <f t="shared" si="5"/>
        <v>1.0111000000000001</v>
      </c>
      <c r="H41" s="7">
        <f t="shared" si="6"/>
        <v>1.0459870395920612</v>
      </c>
      <c r="I41" s="7">
        <f t="shared" si="7"/>
        <v>0.89911149858099504</v>
      </c>
    </row>
    <row r="42" spans="1:9" x14ac:dyDescent="0.25">
      <c r="A42" s="5">
        <v>45748</v>
      </c>
      <c r="B42" s="7">
        <v>-8.1064295691740604E-3</v>
      </c>
      <c r="C42" s="7">
        <v>1.0599999999999899E-2</v>
      </c>
      <c r="D42" s="7">
        <v>-1.5306220792543099E-2</v>
      </c>
      <c r="E42" s="7">
        <v>3.6903116843236501E-2</v>
      </c>
      <c r="F42" s="7">
        <f t="shared" si="4"/>
        <v>0.99189357043082593</v>
      </c>
      <c r="G42" s="7">
        <f t="shared" si="5"/>
        <v>1.0105999999999999</v>
      </c>
      <c r="H42" s="7">
        <f t="shared" si="6"/>
        <v>0.98469377920745693</v>
      </c>
      <c r="I42" s="7">
        <f t="shared" si="7"/>
        <v>1.0369031168432365</v>
      </c>
    </row>
    <row r="43" spans="1:9" x14ac:dyDescent="0.25">
      <c r="A43" s="5">
        <v>40787</v>
      </c>
      <c r="B43" s="7">
        <v>-7.93922061233698E-3</v>
      </c>
      <c r="C43" s="7">
        <v>9.4000000000000698E-3</v>
      </c>
      <c r="D43" s="7">
        <v>2.85554220608597E-2</v>
      </c>
      <c r="E43" s="7">
        <v>-7.3829542437383794E-2</v>
      </c>
      <c r="F43" s="7">
        <f t="shared" si="4"/>
        <v>0.99206077938766302</v>
      </c>
      <c r="G43" s="7">
        <f t="shared" si="5"/>
        <v>1.0094000000000001</v>
      </c>
      <c r="H43" s="7">
        <f t="shared" si="6"/>
        <v>1.0285554220608597</v>
      </c>
      <c r="I43" s="7">
        <f t="shared" si="7"/>
        <v>0.92617045756261618</v>
      </c>
    </row>
    <row r="44" spans="1:9" x14ac:dyDescent="0.25">
      <c r="A44" s="5">
        <v>42186</v>
      </c>
      <c r="B44" s="7">
        <v>-7.5421997926761099E-3</v>
      </c>
      <c r="C44" s="7">
        <v>1.18E-2</v>
      </c>
      <c r="D44" s="7">
        <v>9.5403166177826695E-2</v>
      </c>
      <c r="E44" s="7">
        <v>-4.1747517944273803E-2</v>
      </c>
      <c r="F44" s="7">
        <f t="shared" si="4"/>
        <v>0.99245780020732388</v>
      </c>
      <c r="G44" s="7">
        <f t="shared" si="5"/>
        <v>1.0118</v>
      </c>
      <c r="H44" s="7">
        <f t="shared" si="6"/>
        <v>1.0954031661778267</v>
      </c>
      <c r="I44" s="7">
        <f t="shared" si="7"/>
        <v>0.95825248205572622</v>
      </c>
    </row>
    <row r="45" spans="1:9" x14ac:dyDescent="0.25">
      <c r="A45" s="5">
        <v>42795</v>
      </c>
      <c r="B45" s="7">
        <v>-7.4606318863773497E-3</v>
      </c>
      <c r="C45" s="7">
        <v>1.04999999999999E-2</v>
      </c>
      <c r="D45" s="7">
        <v>2.46519486948777E-2</v>
      </c>
      <c r="E45" s="7">
        <v>-2.5171762023341499E-2</v>
      </c>
      <c r="F45" s="7">
        <f t="shared" si="4"/>
        <v>0.99253936811362264</v>
      </c>
      <c r="G45" s="7">
        <f t="shared" si="5"/>
        <v>1.0105</v>
      </c>
      <c r="H45" s="7">
        <f t="shared" si="6"/>
        <v>1.0246519486948777</v>
      </c>
      <c r="I45" s="7">
        <f t="shared" si="7"/>
        <v>0.97482823797665852</v>
      </c>
    </row>
    <row r="46" spans="1:9" x14ac:dyDescent="0.25">
      <c r="A46" s="5">
        <v>44440</v>
      </c>
      <c r="B46" s="7">
        <v>-6.74046663263605E-3</v>
      </c>
      <c r="C46" s="7">
        <v>4.39999999999995E-3</v>
      </c>
      <c r="D46" s="7">
        <v>-2.1912464717409501E-3</v>
      </c>
      <c r="E46" s="7">
        <v>-6.5683905675150006E-2</v>
      </c>
      <c r="F46" s="7">
        <f t="shared" si="4"/>
        <v>0.99325953336736394</v>
      </c>
      <c r="G46" s="7">
        <f t="shared" si="5"/>
        <v>1.0044</v>
      </c>
      <c r="H46" s="7">
        <f t="shared" si="6"/>
        <v>0.99780875352825904</v>
      </c>
      <c r="I46" s="7">
        <f t="shared" si="7"/>
        <v>0.93431609432484997</v>
      </c>
    </row>
    <row r="47" spans="1:9" x14ac:dyDescent="0.25">
      <c r="A47" s="5">
        <v>45536</v>
      </c>
      <c r="B47" s="7">
        <v>-6.5467326710893997E-3</v>
      </c>
      <c r="C47" s="7">
        <v>8.3999999999999596E-3</v>
      </c>
      <c r="D47" s="7">
        <v>-1.35066447950402E-2</v>
      </c>
      <c r="E47" s="7">
        <v>-3.0793211964354E-2</v>
      </c>
      <c r="F47" s="7">
        <f t="shared" si="4"/>
        <v>0.99345326732891059</v>
      </c>
      <c r="G47" s="7">
        <f t="shared" si="5"/>
        <v>1.0084</v>
      </c>
      <c r="H47" s="7">
        <f t="shared" si="6"/>
        <v>0.98649335520495984</v>
      </c>
      <c r="I47" s="7">
        <f t="shared" si="7"/>
        <v>0.96920678803564597</v>
      </c>
    </row>
    <row r="48" spans="1:9" x14ac:dyDescent="0.25">
      <c r="A48" s="5">
        <v>43435</v>
      </c>
      <c r="B48" s="7">
        <v>-6.0588057090659097E-3</v>
      </c>
      <c r="C48" s="7">
        <v>4.8999999999999001E-3</v>
      </c>
      <c r="D48" s="7">
        <v>-7.3908556512949405E-2</v>
      </c>
      <c r="E48" s="7">
        <v>-1.8066231676796499E-2</v>
      </c>
      <c r="F48" s="7">
        <f t="shared" si="4"/>
        <v>0.99394119429093408</v>
      </c>
      <c r="G48" s="7">
        <f t="shared" si="5"/>
        <v>1.0048999999999999</v>
      </c>
      <c r="H48" s="7">
        <f t="shared" si="6"/>
        <v>0.92609144348705064</v>
      </c>
      <c r="I48" s="7">
        <f t="shared" si="7"/>
        <v>0.98193376832320345</v>
      </c>
    </row>
    <row r="49" spans="1:9" x14ac:dyDescent="0.25">
      <c r="A49" s="5">
        <v>42675</v>
      </c>
      <c r="B49" s="7">
        <v>-5.9652440428107304E-3</v>
      </c>
      <c r="C49" s="7">
        <v>1.0399999999999901E-2</v>
      </c>
      <c r="D49" s="7">
        <v>9.1102599061171102E-2</v>
      </c>
      <c r="E49" s="7">
        <v>-4.6499807470157903E-2</v>
      </c>
      <c r="F49" s="7">
        <f t="shared" si="4"/>
        <v>0.99403475595718926</v>
      </c>
      <c r="G49" s="7">
        <f t="shared" si="5"/>
        <v>1.0104</v>
      </c>
      <c r="H49" s="7">
        <f t="shared" si="6"/>
        <v>1.0911025990611711</v>
      </c>
      <c r="I49" s="7">
        <f t="shared" si="7"/>
        <v>0.95350019252984208</v>
      </c>
    </row>
    <row r="50" spans="1:9" x14ac:dyDescent="0.25">
      <c r="A50" s="5">
        <v>44105</v>
      </c>
      <c r="B50" s="7">
        <v>-5.9119617855683997E-3</v>
      </c>
      <c r="C50" s="7">
        <v>1.60000000000004E-3</v>
      </c>
      <c r="D50" s="7">
        <v>1.0181138398000601E-2</v>
      </c>
      <c r="E50" s="7">
        <v>-6.8813885394755003E-3</v>
      </c>
      <c r="F50" s="7">
        <f t="shared" si="4"/>
        <v>0.99408803821443159</v>
      </c>
      <c r="G50" s="7">
        <f t="shared" si="5"/>
        <v>1.0016</v>
      </c>
      <c r="H50" s="7">
        <f t="shared" si="6"/>
        <v>1.0101811383980006</v>
      </c>
      <c r="I50" s="7">
        <f t="shared" si="7"/>
        <v>0.99311861146052449</v>
      </c>
    </row>
    <row r="51" spans="1:9" x14ac:dyDescent="0.25">
      <c r="A51" s="5">
        <v>41579</v>
      </c>
      <c r="B51" s="7">
        <v>-5.4185273588614998E-3</v>
      </c>
      <c r="C51" s="7">
        <v>7.1000000000001002E-3</v>
      </c>
      <c r="D51" s="7">
        <v>8.5144244519964801E-2</v>
      </c>
      <c r="E51" s="7">
        <v>-3.2696844588616797E-2</v>
      </c>
      <c r="F51" s="7">
        <f t="shared" si="4"/>
        <v>0.9945814726411385</v>
      </c>
      <c r="G51" s="7">
        <f t="shared" si="5"/>
        <v>1.0071000000000001</v>
      </c>
      <c r="H51" s="7">
        <f t="shared" si="6"/>
        <v>1.0851442445199648</v>
      </c>
      <c r="I51" s="7">
        <f t="shared" si="7"/>
        <v>0.96730315541138323</v>
      </c>
    </row>
    <row r="52" spans="1:9" x14ac:dyDescent="0.25">
      <c r="A52" s="5">
        <v>44958</v>
      </c>
      <c r="B52" s="7">
        <v>-4.9457116393505302E-3</v>
      </c>
      <c r="C52" s="7">
        <v>9.2000000000000901E-3</v>
      </c>
      <c r="D52" s="7">
        <v>-1.5743982837730399E-2</v>
      </c>
      <c r="E52" s="7">
        <v>-7.5749568403621903E-2</v>
      </c>
      <c r="F52" s="7">
        <f t="shared" si="4"/>
        <v>0.99505428836064946</v>
      </c>
      <c r="G52" s="7">
        <f t="shared" si="5"/>
        <v>1.0092000000000001</v>
      </c>
      <c r="H52" s="7">
        <f t="shared" si="6"/>
        <v>0.98425601716226963</v>
      </c>
      <c r="I52" s="7">
        <f t="shared" si="7"/>
        <v>0.9242504315963781</v>
      </c>
    </row>
    <row r="53" spans="1:9" x14ac:dyDescent="0.25">
      <c r="A53" s="5">
        <v>43313</v>
      </c>
      <c r="B53" s="7">
        <v>-4.6291724218460104E-3</v>
      </c>
      <c r="C53" s="7">
        <v>5.7000000000000297E-3</v>
      </c>
      <c r="D53" s="7">
        <v>0.122374858061259</v>
      </c>
      <c r="E53" s="7">
        <v>-3.2087856601868102E-2</v>
      </c>
      <c r="F53" s="7">
        <f t="shared" si="4"/>
        <v>0.99537082757815398</v>
      </c>
      <c r="G53" s="7">
        <f t="shared" si="5"/>
        <v>1.0057</v>
      </c>
      <c r="H53" s="7">
        <f t="shared" si="6"/>
        <v>1.1223748580612589</v>
      </c>
      <c r="I53" s="7">
        <f t="shared" si="7"/>
        <v>0.96791214339813192</v>
      </c>
    </row>
    <row r="54" spans="1:9" x14ac:dyDescent="0.25">
      <c r="A54" s="5">
        <v>43678</v>
      </c>
      <c r="B54" s="7">
        <v>-4.4999698634370297E-3</v>
      </c>
      <c r="C54" s="7">
        <v>4.9999999999998899E-3</v>
      </c>
      <c r="D54" s="7">
        <v>7.6841996623725706E-2</v>
      </c>
      <c r="E54" s="7">
        <v>-6.6495108631595603E-3</v>
      </c>
      <c r="F54" s="7">
        <f t="shared" si="4"/>
        <v>0.99550003013656296</v>
      </c>
      <c r="G54" s="7">
        <f t="shared" si="5"/>
        <v>1.0049999999999999</v>
      </c>
      <c r="H54" s="7">
        <f t="shared" si="6"/>
        <v>1.0768419966237257</v>
      </c>
      <c r="I54" s="7">
        <f t="shared" si="7"/>
        <v>0.99335048913684043</v>
      </c>
    </row>
    <row r="55" spans="1:9" x14ac:dyDescent="0.25">
      <c r="A55" s="5">
        <v>42248</v>
      </c>
      <c r="B55" s="7">
        <v>-4.48677986612178E-3</v>
      </c>
      <c r="C55" s="7">
        <v>1.1100000000000099E-2</v>
      </c>
      <c r="D55" s="7">
        <v>8.5434483643616693E-2</v>
      </c>
      <c r="E55" s="7">
        <v>-3.3607858276498002E-2</v>
      </c>
      <c r="F55" s="7">
        <f t="shared" si="4"/>
        <v>0.99551322013387822</v>
      </c>
      <c r="G55" s="7">
        <f t="shared" si="5"/>
        <v>1.0111000000000001</v>
      </c>
      <c r="H55" s="7">
        <f t="shared" si="6"/>
        <v>1.0854344836436167</v>
      </c>
      <c r="I55" s="7">
        <f t="shared" si="7"/>
        <v>0.96639214172350196</v>
      </c>
    </row>
    <row r="56" spans="1:9" x14ac:dyDescent="0.25">
      <c r="A56" s="5">
        <v>45689</v>
      </c>
      <c r="B56" s="7">
        <v>-4.3555527202875297E-3</v>
      </c>
      <c r="C56" s="7">
        <v>9.9000000000000199E-3</v>
      </c>
      <c r="D56" s="7">
        <v>-1.01477874366544E-2</v>
      </c>
      <c r="E56" s="7">
        <v>-2.6447853490307899E-2</v>
      </c>
      <c r="F56" s="7">
        <f t="shared" si="4"/>
        <v>0.99564444727971246</v>
      </c>
      <c r="G56" s="7">
        <f t="shared" si="5"/>
        <v>1.0099</v>
      </c>
      <c r="H56" s="7">
        <f t="shared" si="6"/>
        <v>0.98985221256334555</v>
      </c>
      <c r="I56" s="7">
        <f t="shared" si="7"/>
        <v>0.97355214650969213</v>
      </c>
    </row>
    <row r="57" spans="1:9" x14ac:dyDescent="0.25">
      <c r="A57" s="5">
        <v>41122</v>
      </c>
      <c r="B57" s="7">
        <v>-3.5768858085410901E-3</v>
      </c>
      <c r="C57" s="7">
        <v>6.8999999999999001E-3</v>
      </c>
      <c r="D57" s="7">
        <v>2.7394087761781701E-2</v>
      </c>
      <c r="E57" s="7">
        <v>1.71845196712836E-2</v>
      </c>
      <c r="F57" s="7">
        <f t="shared" si="4"/>
        <v>0.9964231141914589</v>
      </c>
      <c r="G57" s="7">
        <f t="shared" si="5"/>
        <v>1.0068999999999999</v>
      </c>
      <c r="H57" s="7">
        <f t="shared" si="6"/>
        <v>1.0273940877617818</v>
      </c>
      <c r="I57" s="7">
        <f t="shared" si="7"/>
        <v>1.0171845196712836</v>
      </c>
    </row>
    <row r="58" spans="1:9" x14ac:dyDescent="0.25">
      <c r="A58" s="5">
        <v>40695</v>
      </c>
      <c r="B58" s="7">
        <v>-3.4924102336837399E-3</v>
      </c>
      <c r="C58" s="7">
        <v>9.5000000000000605E-3</v>
      </c>
      <c r="D58" s="7">
        <v>-2.7803769140827401E-2</v>
      </c>
      <c r="E58" s="7">
        <v>-3.4292788610337299E-2</v>
      </c>
      <c r="F58" s="7">
        <f t="shared" si="4"/>
        <v>0.99650758976631626</v>
      </c>
      <c r="G58" s="7">
        <f t="shared" si="5"/>
        <v>1.0095000000000001</v>
      </c>
      <c r="H58" s="7">
        <f t="shared" si="6"/>
        <v>0.97219623085917262</v>
      </c>
      <c r="I58" s="7">
        <f t="shared" si="7"/>
        <v>0.96570721138966276</v>
      </c>
    </row>
    <row r="59" spans="1:9" x14ac:dyDescent="0.25">
      <c r="A59" s="5">
        <v>45627</v>
      </c>
      <c r="B59" s="7">
        <v>-2.9421285716425502E-3</v>
      </c>
      <c r="C59" s="7">
        <v>9.3000000000000808E-3</v>
      </c>
      <c r="D59" s="7">
        <v>-3.5589877371718899E-3</v>
      </c>
      <c r="E59" s="7">
        <v>-4.2851004233376802E-2</v>
      </c>
      <c r="F59" s="7">
        <f t="shared" si="4"/>
        <v>0.99705787142835745</v>
      </c>
      <c r="G59" s="7">
        <f t="shared" si="5"/>
        <v>1.0093000000000001</v>
      </c>
      <c r="H59" s="7">
        <f t="shared" si="6"/>
        <v>0.99644101226282811</v>
      </c>
      <c r="I59" s="7">
        <f t="shared" si="7"/>
        <v>0.95714899576662316</v>
      </c>
    </row>
    <row r="60" spans="1:9" x14ac:dyDescent="0.25">
      <c r="A60" s="5">
        <v>43497</v>
      </c>
      <c r="B60" s="7">
        <v>-1.8921459153486901E-3</v>
      </c>
      <c r="C60" s="7">
        <v>4.8999999999999001E-3</v>
      </c>
      <c r="D60" s="7">
        <v>4.0969833545653603E-2</v>
      </c>
      <c r="E60" s="7">
        <v>-1.8584307041501401E-2</v>
      </c>
      <c r="F60" s="7">
        <f t="shared" si="4"/>
        <v>0.9981078540846513</v>
      </c>
      <c r="G60" s="7">
        <f t="shared" si="5"/>
        <v>1.0048999999999999</v>
      </c>
      <c r="H60" s="7">
        <f t="shared" si="6"/>
        <v>1.0409698335456536</v>
      </c>
      <c r="I60" s="7">
        <f t="shared" si="7"/>
        <v>0.98141569295849862</v>
      </c>
    </row>
    <row r="61" spans="1:9" x14ac:dyDescent="0.25">
      <c r="A61" s="5">
        <v>40969</v>
      </c>
      <c r="B61" s="7">
        <v>-1.7451817970296399E-3</v>
      </c>
      <c r="C61" s="7">
        <v>8.0999999999999892E-3</v>
      </c>
      <c r="D61" s="7">
        <v>8.7064988528948506E-2</v>
      </c>
      <c r="E61" s="7">
        <v>-1.9768431289126601E-2</v>
      </c>
      <c r="F61" s="7">
        <f t="shared" si="4"/>
        <v>0.99825481820297035</v>
      </c>
      <c r="G61" s="7">
        <f t="shared" si="5"/>
        <v>1.0081</v>
      </c>
      <c r="H61" s="7">
        <f t="shared" si="6"/>
        <v>1.0870649885289485</v>
      </c>
      <c r="I61" s="7">
        <f t="shared" si="7"/>
        <v>0.98023156871087336</v>
      </c>
    </row>
    <row r="62" spans="1:9" x14ac:dyDescent="0.25">
      <c r="A62" s="5">
        <v>41061</v>
      </c>
      <c r="B62" s="7">
        <v>-8.4123045557049604E-4</v>
      </c>
      <c r="C62" s="7">
        <v>6.3999999999999604E-3</v>
      </c>
      <c r="D62" s="7">
        <v>4.6952695140483697E-2</v>
      </c>
      <c r="E62" s="7">
        <v>-2.4775188107909402E-3</v>
      </c>
      <c r="F62" s="7">
        <f t="shared" si="4"/>
        <v>0.9991587695444295</v>
      </c>
      <c r="G62" s="7">
        <f t="shared" si="5"/>
        <v>1.0064</v>
      </c>
      <c r="H62" s="7">
        <f t="shared" si="6"/>
        <v>1.0469526951404837</v>
      </c>
      <c r="I62" s="7">
        <f t="shared" si="7"/>
        <v>0.99752248118920905</v>
      </c>
    </row>
    <row r="63" spans="1:9" x14ac:dyDescent="0.25">
      <c r="A63" s="5">
        <v>43132</v>
      </c>
      <c r="B63" s="7">
        <v>-6.67779540267199E-4</v>
      </c>
      <c r="C63" s="7">
        <v>4.5999999999999297E-3</v>
      </c>
      <c r="D63" s="7">
        <v>-2.3690052004465102E-2</v>
      </c>
      <c r="E63" s="7">
        <v>6.6891995336402204E-3</v>
      </c>
      <c r="F63" s="7">
        <f t="shared" si="4"/>
        <v>0.9993322204597328</v>
      </c>
      <c r="G63" s="7">
        <f t="shared" si="5"/>
        <v>1.0045999999999999</v>
      </c>
      <c r="H63" s="7">
        <f t="shared" si="6"/>
        <v>0.97630994799553494</v>
      </c>
      <c r="I63" s="7">
        <f t="shared" si="7"/>
        <v>1.0066891995336402</v>
      </c>
    </row>
    <row r="64" spans="1:9" x14ac:dyDescent="0.25">
      <c r="A64" s="5">
        <v>40848</v>
      </c>
      <c r="B64" s="8">
        <v>-5.2500705368441203E-4</v>
      </c>
      <c r="C64" s="7">
        <v>8.5999999999999393E-3</v>
      </c>
      <c r="D64" s="7">
        <v>7.8003783940312196E-2</v>
      </c>
      <c r="E64" s="7">
        <v>-2.5077993760499101E-2</v>
      </c>
      <c r="F64" s="7">
        <f t="shared" si="4"/>
        <v>0.99947499294631559</v>
      </c>
      <c r="G64" s="7">
        <f t="shared" si="5"/>
        <v>1.0085999999999999</v>
      </c>
      <c r="H64" s="7">
        <f t="shared" si="6"/>
        <v>1.0780037839403123</v>
      </c>
      <c r="I64" s="7">
        <f t="shared" si="7"/>
        <v>0.97492200623950087</v>
      </c>
    </row>
    <row r="65" spans="1:9" x14ac:dyDescent="0.25">
      <c r="A65" s="5">
        <v>42370</v>
      </c>
      <c r="B65" s="7">
        <v>-5.04700731809415E-4</v>
      </c>
      <c r="C65" s="7">
        <v>1.04999999999999E-2</v>
      </c>
      <c r="D65" s="7">
        <v>-2.6120036306529999E-2</v>
      </c>
      <c r="E65" s="7">
        <v>-6.7912341407150995E-2</v>
      </c>
      <c r="F65" s="7">
        <f t="shared" si="4"/>
        <v>0.99949529926819058</v>
      </c>
      <c r="G65" s="7">
        <f t="shared" si="5"/>
        <v>1.0105</v>
      </c>
      <c r="H65" s="7">
        <f t="shared" si="6"/>
        <v>0.97387996369346996</v>
      </c>
      <c r="I65" s="7">
        <f t="shared" si="7"/>
        <v>0.93208765859284903</v>
      </c>
    </row>
    <row r="66" spans="1:9" x14ac:dyDescent="0.25">
      <c r="A66" s="5">
        <v>44228</v>
      </c>
      <c r="B66" s="7">
        <v>-4.4197538935053499E-4</v>
      </c>
      <c r="C66" s="7">
        <v>1.30000000000007E-3</v>
      </c>
      <c r="D66" s="7">
        <v>5.2461427727020997E-2</v>
      </c>
      <c r="E66" s="7">
        <v>-5.1479652089959999E-2</v>
      </c>
      <c r="F66" s="7">
        <f t="shared" ref="F66:F97" si="8">1+B66</f>
        <v>0.99955802461064946</v>
      </c>
      <c r="G66" s="7">
        <f t="shared" ref="G66:G97" si="9">1+C66</f>
        <v>1.0013000000000001</v>
      </c>
      <c r="H66" s="7">
        <f t="shared" ref="H66:H97" si="10">1+D66</f>
        <v>1.052461427727021</v>
      </c>
      <c r="I66" s="7">
        <f t="shared" ref="I66:I97" si="11">1+E66</f>
        <v>0.94852034791004003</v>
      </c>
    </row>
    <row r="67" spans="1:9" x14ac:dyDescent="0.25">
      <c r="A67" s="5">
        <v>45962</v>
      </c>
      <c r="B67" s="7">
        <v>-3.8493760637614501E-4</v>
      </c>
      <c r="C67" s="7">
        <v>1.04999999999999E-2</v>
      </c>
      <c r="D67" s="7">
        <v>-2.81902891824392E-3</v>
      </c>
      <c r="E67" s="7">
        <v>6.3742142570549706E-2</v>
      </c>
      <c r="F67" s="7">
        <f t="shared" si="8"/>
        <v>0.99961506239362385</v>
      </c>
      <c r="G67" s="7">
        <f t="shared" si="9"/>
        <v>1.0105</v>
      </c>
      <c r="H67" s="7">
        <f t="shared" si="10"/>
        <v>0.99718097108175607</v>
      </c>
      <c r="I67" s="7">
        <f t="shared" si="11"/>
        <v>1.0637421425705498</v>
      </c>
    </row>
    <row r="68" spans="1:9" x14ac:dyDescent="0.25">
      <c r="A68" s="5">
        <v>45809</v>
      </c>
      <c r="B68" s="7">
        <v>-2.9267716931113898E-4</v>
      </c>
      <c r="C68" s="7">
        <v>1.09999999999998E-2</v>
      </c>
      <c r="D68" s="7">
        <v>7.4125015909049996E-3</v>
      </c>
      <c r="E68" s="7">
        <v>1.3340436556299001E-2</v>
      </c>
      <c r="F68" s="7">
        <f t="shared" si="8"/>
        <v>0.99970732283068886</v>
      </c>
      <c r="G68" s="7">
        <f t="shared" si="9"/>
        <v>1.0109999999999999</v>
      </c>
      <c r="H68" s="7">
        <f t="shared" si="10"/>
        <v>1.007412501590905</v>
      </c>
      <c r="I68" s="7">
        <f t="shared" si="11"/>
        <v>1.013340436556299</v>
      </c>
    </row>
    <row r="69" spans="1:9" x14ac:dyDescent="0.25">
      <c r="A69" s="5">
        <v>45047</v>
      </c>
      <c r="B69" s="7">
        <v>-1.9921256466293101E-4</v>
      </c>
      <c r="C69" s="7">
        <v>1.12E-2</v>
      </c>
      <c r="D69" s="7">
        <v>-2.2693544194529701E-3</v>
      </c>
      <c r="E69" s="7">
        <v>3.73736019610846E-2</v>
      </c>
      <c r="F69" s="7">
        <f t="shared" si="8"/>
        <v>0.99980078743533707</v>
      </c>
      <c r="G69" s="7">
        <f t="shared" si="9"/>
        <v>1.0112000000000001</v>
      </c>
      <c r="H69" s="7">
        <f t="shared" si="10"/>
        <v>0.99773064558054703</v>
      </c>
      <c r="I69" s="7">
        <f t="shared" si="11"/>
        <v>1.0373736019610846</v>
      </c>
    </row>
    <row r="70" spans="1:9" x14ac:dyDescent="0.25">
      <c r="A70" s="5">
        <v>42705</v>
      </c>
      <c r="B70" s="7">
        <v>-1.81048612245993E-4</v>
      </c>
      <c r="C70" s="7">
        <v>1.12E-2</v>
      </c>
      <c r="D70" s="7">
        <v>-4.8093786212849397E-2</v>
      </c>
      <c r="E70" s="7">
        <v>-2.7121765257002599E-2</v>
      </c>
      <c r="F70" s="7">
        <f t="shared" si="8"/>
        <v>0.99981895138775401</v>
      </c>
      <c r="G70" s="7">
        <f t="shared" si="9"/>
        <v>1.0112000000000001</v>
      </c>
      <c r="H70" s="7">
        <f t="shared" si="10"/>
        <v>0.95190621378715057</v>
      </c>
      <c r="I70" s="7">
        <f t="shared" si="11"/>
        <v>0.97287823474299739</v>
      </c>
    </row>
    <row r="71" spans="1:9" x14ac:dyDescent="0.25">
      <c r="A71" s="5">
        <v>42064</v>
      </c>
      <c r="B71" s="7">
        <v>-1.22064585095338E-4</v>
      </c>
      <c r="C71" s="7">
        <v>1.0399999999999901E-2</v>
      </c>
      <c r="D71" s="7">
        <v>9.1535841017693104E-2</v>
      </c>
      <c r="E71" s="7">
        <v>-8.3942384118799104E-3</v>
      </c>
      <c r="F71" s="7">
        <f t="shared" si="8"/>
        <v>0.99987793541490466</v>
      </c>
      <c r="G71" s="7">
        <f t="shared" si="9"/>
        <v>1.0104</v>
      </c>
      <c r="H71" s="7">
        <f t="shared" si="10"/>
        <v>1.0915358410176932</v>
      </c>
      <c r="I71" s="7">
        <f t="shared" si="11"/>
        <v>0.99160576158812008</v>
      </c>
    </row>
    <row r="72" spans="1:9" x14ac:dyDescent="0.25">
      <c r="A72" s="5">
        <v>45139</v>
      </c>
      <c r="B72" s="7">
        <v>3.6027787283110502E-4</v>
      </c>
      <c r="C72" s="7">
        <v>1.14E-2</v>
      </c>
      <c r="D72" s="7">
        <v>5.5282498395157198E-3</v>
      </c>
      <c r="E72" s="7">
        <v>-5.0851627399686697E-2</v>
      </c>
      <c r="F72" s="7">
        <f t="shared" si="8"/>
        <v>1.0003602778728311</v>
      </c>
      <c r="G72" s="7">
        <f t="shared" si="9"/>
        <v>1.0114000000000001</v>
      </c>
      <c r="H72" s="7">
        <f t="shared" si="10"/>
        <v>1.0055282498395157</v>
      </c>
      <c r="I72" s="7">
        <f t="shared" si="11"/>
        <v>0.94914837260031326</v>
      </c>
    </row>
    <row r="73" spans="1:9" x14ac:dyDescent="0.25">
      <c r="A73" s="5">
        <v>41183</v>
      </c>
      <c r="B73" s="7">
        <v>8.4515390249562095E-4</v>
      </c>
      <c r="C73" s="7">
        <v>6.09999999999999E-3</v>
      </c>
      <c r="D73" s="7">
        <v>9.0408855945975902E-3</v>
      </c>
      <c r="E73" s="7">
        <v>-3.5622549682303599E-2</v>
      </c>
      <c r="F73" s="7">
        <f t="shared" si="8"/>
        <v>1.0008451539024956</v>
      </c>
      <c r="G73" s="7">
        <f t="shared" si="9"/>
        <v>1.0061</v>
      </c>
      <c r="H73" s="7">
        <f t="shared" si="10"/>
        <v>1.0090408855945976</v>
      </c>
      <c r="I73" s="7">
        <f t="shared" si="11"/>
        <v>0.96437745031769639</v>
      </c>
    </row>
    <row r="74" spans="1:9" x14ac:dyDescent="0.25">
      <c r="A74" s="5">
        <v>43009</v>
      </c>
      <c r="B74" s="7">
        <v>1.6297307750272601E-3</v>
      </c>
      <c r="C74" s="7">
        <v>6.3999999999999604E-3</v>
      </c>
      <c r="D74" s="7">
        <v>6.0551554292613101E-2</v>
      </c>
      <c r="E74" s="7">
        <v>1.8844052009581099E-4</v>
      </c>
      <c r="F74" s="7">
        <f t="shared" si="8"/>
        <v>1.0016297307750273</v>
      </c>
      <c r="G74" s="7">
        <f t="shared" si="9"/>
        <v>1.0064</v>
      </c>
      <c r="H74" s="7">
        <f t="shared" si="10"/>
        <v>1.0605515542926132</v>
      </c>
      <c r="I74" s="7">
        <f t="shared" si="11"/>
        <v>1.0001884405200958</v>
      </c>
    </row>
    <row r="75" spans="1:9" x14ac:dyDescent="0.25">
      <c r="A75" s="5">
        <v>42826</v>
      </c>
      <c r="B75" s="7">
        <v>1.7742906563604701E-3</v>
      </c>
      <c r="C75" s="7">
        <v>7.9000000000000094E-3</v>
      </c>
      <c r="D75" s="7">
        <v>2.9393479156606599E-2</v>
      </c>
      <c r="E75" s="7">
        <v>6.4477409823957502E-3</v>
      </c>
      <c r="F75" s="7">
        <f t="shared" si="8"/>
        <v>1.0017742906563605</v>
      </c>
      <c r="G75" s="7">
        <f t="shared" si="9"/>
        <v>1.0079</v>
      </c>
      <c r="H75" s="7">
        <f t="shared" si="10"/>
        <v>1.0293934791566066</v>
      </c>
      <c r="I75" s="7">
        <f t="shared" si="11"/>
        <v>1.0064477409823958</v>
      </c>
    </row>
    <row r="76" spans="1:9" x14ac:dyDescent="0.25">
      <c r="A76" s="5">
        <v>41395</v>
      </c>
      <c r="B76" s="7">
        <v>2.0933383282815102E-3</v>
      </c>
      <c r="C76" s="7">
        <v>5.8000000000000204E-3</v>
      </c>
      <c r="D76" s="7">
        <v>4.4982664430827698E-2</v>
      </c>
      <c r="E76" s="7">
        <v>-4.2997674834555501E-2</v>
      </c>
      <c r="F76" s="7">
        <f t="shared" si="8"/>
        <v>1.0020933383282815</v>
      </c>
      <c r="G76" s="7">
        <f t="shared" si="9"/>
        <v>1.0058</v>
      </c>
      <c r="H76" s="7">
        <f t="shared" si="10"/>
        <v>1.0449826644308278</v>
      </c>
      <c r="I76" s="7">
        <f t="shared" si="11"/>
        <v>0.95700232516544448</v>
      </c>
    </row>
    <row r="77" spans="1:9" x14ac:dyDescent="0.25">
      <c r="A77" s="5">
        <v>44348</v>
      </c>
      <c r="B77" s="7">
        <v>2.4908029810470902E-3</v>
      </c>
      <c r="C77" s="7">
        <v>3.1000000000001001E-3</v>
      </c>
      <c r="D77" s="7">
        <v>-4.7574613812544901E-2</v>
      </c>
      <c r="E77" s="7">
        <v>4.6428345059263904E-3</v>
      </c>
      <c r="F77" s="7">
        <f t="shared" si="8"/>
        <v>1.0024908029810471</v>
      </c>
      <c r="G77" s="7">
        <f t="shared" si="9"/>
        <v>1.0031000000000001</v>
      </c>
      <c r="H77" s="7">
        <f t="shared" si="10"/>
        <v>0.95242538618745509</v>
      </c>
      <c r="I77" s="7">
        <f t="shared" si="11"/>
        <v>1.0046428345059264</v>
      </c>
    </row>
    <row r="78" spans="1:9" x14ac:dyDescent="0.25">
      <c r="A78" s="5">
        <v>44409</v>
      </c>
      <c r="B78" s="7">
        <v>3.0584417563210798E-3</v>
      </c>
      <c r="C78" s="7">
        <v>4.2999999999999696E-3</v>
      </c>
      <c r="D78" s="7">
        <v>1.8765644293440902E-2</v>
      </c>
      <c r="E78" s="7">
        <v>-2.4794541916732998E-2</v>
      </c>
      <c r="F78" s="7">
        <f t="shared" si="8"/>
        <v>1.0030584417563211</v>
      </c>
      <c r="G78" s="7">
        <f t="shared" si="9"/>
        <v>1.0043</v>
      </c>
      <c r="H78" s="7">
        <f t="shared" si="10"/>
        <v>1.018765644293441</v>
      </c>
      <c r="I78" s="7">
        <f t="shared" si="11"/>
        <v>0.97520545808326697</v>
      </c>
    </row>
    <row r="79" spans="1:9" x14ac:dyDescent="0.25">
      <c r="A79" s="5">
        <v>44317</v>
      </c>
      <c r="B79" s="7">
        <v>3.0971022742605201E-3</v>
      </c>
      <c r="C79" s="7">
        <v>2.6999999999999199E-3</v>
      </c>
      <c r="D79" s="7">
        <v>-2.9372957454635298E-3</v>
      </c>
      <c r="E79" s="7">
        <v>6.1584268339865703E-2</v>
      </c>
      <c r="F79" s="7">
        <f t="shared" si="8"/>
        <v>1.0030971022742605</v>
      </c>
      <c r="G79" s="7">
        <f t="shared" si="9"/>
        <v>1.0026999999999999</v>
      </c>
      <c r="H79" s="7">
        <f t="shared" si="10"/>
        <v>0.99706270425453647</v>
      </c>
      <c r="I79" s="7">
        <f t="shared" si="11"/>
        <v>1.0615842683398657</v>
      </c>
    </row>
    <row r="80" spans="1:9" x14ac:dyDescent="0.25">
      <c r="A80" s="5">
        <v>45017</v>
      </c>
      <c r="B80" s="7">
        <v>3.3179006316477102E-3</v>
      </c>
      <c r="C80" s="7">
        <v>9.2000000000000901E-3</v>
      </c>
      <c r="D80" s="7">
        <v>-3.9459446092501198E-3</v>
      </c>
      <c r="E80" s="7">
        <v>2.5028955065664101E-2</v>
      </c>
      <c r="F80" s="7">
        <f t="shared" si="8"/>
        <v>1.0033179006316477</v>
      </c>
      <c r="G80" s="7">
        <f t="shared" si="9"/>
        <v>1.0092000000000001</v>
      </c>
      <c r="H80" s="7">
        <f t="shared" si="10"/>
        <v>0.99605405539074987</v>
      </c>
      <c r="I80" s="7">
        <f t="shared" si="11"/>
        <v>1.0250289550656642</v>
      </c>
    </row>
    <row r="81" spans="1:9" x14ac:dyDescent="0.25">
      <c r="A81" s="5">
        <v>45870</v>
      </c>
      <c r="B81" s="7">
        <v>3.4220126575579199E-3</v>
      </c>
      <c r="C81" s="7">
        <v>1.1599999999999999E-2</v>
      </c>
      <c r="D81" s="7">
        <v>2.22483492231284E-3</v>
      </c>
      <c r="E81" s="7">
        <v>6.2755972375649005E-2</v>
      </c>
      <c r="F81" s="7">
        <f t="shared" si="8"/>
        <v>1.0034220126575579</v>
      </c>
      <c r="G81" s="7">
        <f t="shared" si="9"/>
        <v>1.0116000000000001</v>
      </c>
      <c r="H81" s="7">
        <f t="shared" si="10"/>
        <v>1.0022248349223128</v>
      </c>
      <c r="I81" s="7">
        <f t="shared" si="11"/>
        <v>1.062755972375649</v>
      </c>
    </row>
    <row r="82" spans="1:9" x14ac:dyDescent="0.25">
      <c r="A82" s="5">
        <v>45383</v>
      </c>
      <c r="B82" s="7">
        <v>4.1777128715987299E-3</v>
      </c>
      <c r="C82" s="7">
        <v>8.8999999999998993E-3</v>
      </c>
      <c r="D82" s="7">
        <v>-1.2059260267895699E-2</v>
      </c>
      <c r="E82" s="7">
        <v>-1.7032769737561002E-2</v>
      </c>
      <c r="F82" s="7">
        <f t="shared" si="8"/>
        <v>1.0041777128715987</v>
      </c>
      <c r="G82" s="7">
        <f t="shared" si="9"/>
        <v>1.0088999999999999</v>
      </c>
      <c r="H82" s="7">
        <f t="shared" si="10"/>
        <v>0.98794073973210428</v>
      </c>
      <c r="I82" s="7">
        <f t="shared" si="11"/>
        <v>0.98296723026243904</v>
      </c>
    </row>
    <row r="83" spans="1:9" x14ac:dyDescent="0.25">
      <c r="A83" s="5">
        <v>43160</v>
      </c>
      <c r="B83" s="7">
        <v>4.1960301659238397E-3</v>
      </c>
      <c r="C83" s="7">
        <v>5.3000000000000798E-3</v>
      </c>
      <c r="D83" s="7">
        <v>3.85810444959666E-4</v>
      </c>
      <c r="E83" s="7">
        <v>-1.34532820158861E-3</v>
      </c>
      <c r="F83" s="7">
        <f t="shared" si="8"/>
        <v>1.0041960301659238</v>
      </c>
      <c r="G83" s="7">
        <f t="shared" si="9"/>
        <v>1.0053000000000001</v>
      </c>
      <c r="H83" s="7">
        <f t="shared" si="10"/>
        <v>1.0003858104449597</v>
      </c>
      <c r="I83" s="7">
        <f t="shared" si="11"/>
        <v>0.99865467179841139</v>
      </c>
    </row>
    <row r="84" spans="1:9" x14ac:dyDescent="0.25">
      <c r="A84" s="5">
        <v>41487</v>
      </c>
      <c r="B84" s="7">
        <v>4.5757095462810498E-3</v>
      </c>
      <c r="C84" s="7">
        <v>6.99999999999989E-3</v>
      </c>
      <c r="D84" s="7">
        <v>1.87982499952421E-2</v>
      </c>
      <c r="E84" s="7">
        <v>3.6779035535099598E-2</v>
      </c>
      <c r="F84" s="7">
        <f t="shared" si="8"/>
        <v>1.0045757095462811</v>
      </c>
      <c r="G84" s="7">
        <f t="shared" si="9"/>
        <v>1.0069999999999999</v>
      </c>
      <c r="H84" s="7">
        <f t="shared" si="10"/>
        <v>1.0187982499952422</v>
      </c>
      <c r="I84" s="7">
        <f t="shared" si="11"/>
        <v>1.0367790355350996</v>
      </c>
    </row>
    <row r="85" spans="1:9" x14ac:dyDescent="0.25">
      <c r="A85" s="5">
        <v>42156</v>
      </c>
      <c r="B85" s="7">
        <v>5.1705529416159399E-3</v>
      </c>
      <c r="C85" s="7">
        <v>1.0699999999999901E-2</v>
      </c>
      <c r="D85" s="7">
        <v>-4.2533556697420698E-2</v>
      </c>
      <c r="E85" s="7">
        <v>6.0841546626231296E-3</v>
      </c>
      <c r="F85" s="7">
        <f t="shared" si="8"/>
        <v>1.0051705529416159</v>
      </c>
      <c r="G85" s="7">
        <f t="shared" si="9"/>
        <v>1.0106999999999999</v>
      </c>
      <c r="H85" s="7">
        <f t="shared" si="10"/>
        <v>0.95746644330257935</v>
      </c>
      <c r="I85" s="7">
        <f t="shared" si="11"/>
        <v>1.0060841546626231</v>
      </c>
    </row>
    <row r="86" spans="1:9" x14ac:dyDescent="0.25">
      <c r="A86" s="5">
        <v>43831</v>
      </c>
      <c r="B86" s="7">
        <v>5.5245087516175798E-3</v>
      </c>
      <c r="C86" s="7">
        <v>3.8000000000000199E-3</v>
      </c>
      <c r="D86" s="7">
        <v>4.7844024504730902E-2</v>
      </c>
      <c r="E86" s="7">
        <v>-1.6291236110510601E-2</v>
      </c>
      <c r="F86" s="7">
        <f t="shared" si="8"/>
        <v>1.0055245087516176</v>
      </c>
      <c r="G86" s="7">
        <f t="shared" si="9"/>
        <v>1.0038</v>
      </c>
      <c r="H86" s="7">
        <f t="shared" si="10"/>
        <v>1.0478440245047309</v>
      </c>
      <c r="I86" s="7">
        <f t="shared" si="11"/>
        <v>0.98370876388948936</v>
      </c>
    </row>
    <row r="87" spans="1:9" x14ac:dyDescent="0.25">
      <c r="A87" s="5">
        <v>41760</v>
      </c>
      <c r="B87" s="7">
        <v>5.5576157510446303E-3</v>
      </c>
      <c r="C87" s="7">
        <v>8.5999999999999393E-3</v>
      </c>
      <c r="D87" s="7">
        <v>1.6075268472341701E-2</v>
      </c>
      <c r="E87" s="7">
        <v>-7.4962228334559599E-3</v>
      </c>
      <c r="F87" s="7">
        <f t="shared" si="8"/>
        <v>1.0055576157510446</v>
      </c>
      <c r="G87" s="7">
        <f t="shared" si="9"/>
        <v>1.0085999999999999</v>
      </c>
      <c r="H87" s="7">
        <f t="shared" si="10"/>
        <v>1.0160752684723418</v>
      </c>
      <c r="I87" s="7">
        <f t="shared" si="11"/>
        <v>0.99250377716654403</v>
      </c>
    </row>
    <row r="88" spans="1:9" x14ac:dyDescent="0.25">
      <c r="A88" s="5">
        <v>43770</v>
      </c>
      <c r="B88" s="7">
        <v>5.7501440778184804E-3</v>
      </c>
      <c r="C88" s="7">
        <v>3.8000000000000199E-3</v>
      </c>
      <c r="D88" s="7">
        <v>8.9679444779331194E-2</v>
      </c>
      <c r="E88" s="7">
        <v>9.4478642044395402E-3</v>
      </c>
      <c r="F88" s="7">
        <f t="shared" si="8"/>
        <v>1.0057501440778185</v>
      </c>
      <c r="G88" s="7">
        <f t="shared" si="9"/>
        <v>1.0038</v>
      </c>
      <c r="H88" s="7">
        <f t="shared" si="10"/>
        <v>1.0896794447793312</v>
      </c>
      <c r="I88" s="7">
        <f t="shared" si="11"/>
        <v>1.0094478642044395</v>
      </c>
    </row>
    <row r="89" spans="1:9" x14ac:dyDescent="0.25">
      <c r="A89" s="5">
        <v>41365</v>
      </c>
      <c r="B89" s="7">
        <v>5.7997922078203397E-3</v>
      </c>
      <c r="C89" s="7">
        <v>6.0000000000000001E-3</v>
      </c>
      <c r="D89" s="7">
        <v>2.3251199447209901E-2</v>
      </c>
      <c r="E89" s="7">
        <v>-7.8435547984100299E-3</v>
      </c>
      <c r="F89" s="7">
        <f t="shared" si="8"/>
        <v>1.0057997922078203</v>
      </c>
      <c r="G89" s="7">
        <f t="shared" si="9"/>
        <v>1.006</v>
      </c>
      <c r="H89" s="7">
        <f t="shared" si="10"/>
        <v>1.02325119944721</v>
      </c>
      <c r="I89" s="7">
        <f t="shared" si="11"/>
        <v>0.99215644520158996</v>
      </c>
    </row>
    <row r="90" spans="1:9" x14ac:dyDescent="0.25">
      <c r="A90" s="5">
        <v>42339</v>
      </c>
      <c r="B90" s="7">
        <v>6.0617835297103097E-3</v>
      </c>
      <c r="C90" s="7">
        <v>1.1599999999999999E-2</v>
      </c>
      <c r="D90" s="7">
        <v>1.0030740566593301E-3</v>
      </c>
      <c r="E90" s="7">
        <v>-3.9228723404255303E-2</v>
      </c>
      <c r="F90" s="7">
        <f t="shared" si="8"/>
        <v>1.0060617835297103</v>
      </c>
      <c r="G90" s="7">
        <f t="shared" si="9"/>
        <v>1.0116000000000001</v>
      </c>
      <c r="H90" s="7">
        <f t="shared" si="10"/>
        <v>1.0010030740566593</v>
      </c>
      <c r="I90" s="7">
        <f t="shared" si="11"/>
        <v>0.96077127659574468</v>
      </c>
    </row>
    <row r="91" spans="1:9" x14ac:dyDescent="0.25">
      <c r="A91" s="5">
        <v>43647</v>
      </c>
      <c r="B91" s="7">
        <v>6.1820566676444796E-3</v>
      </c>
      <c r="C91" s="7">
        <v>5.7000000000000297E-3</v>
      </c>
      <c r="D91" s="7">
        <v>4.6557377384837101E-4</v>
      </c>
      <c r="E91" s="7">
        <v>8.3690710826309599E-3</v>
      </c>
      <c r="F91" s="7">
        <f t="shared" si="8"/>
        <v>1.0061820566676445</v>
      </c>
      <c r="G91" s="7">
        <f t="shared" si="9"/>
        <v>1.0057</v>
      </c>
      <c r="H91" s="7">
        <f t="shared" si="10"/>
        <v>1.0004655737738484</v>
      </c>
      <c r="I91" s="7">
        <f t="shared" si="11"/>
        <v>1.008369071082631</v>
      </c>
    </row>
    <row r="92" spans="1:9" x14ac:dyDescent="0.25">
      <c r="A92" s="5">
        <v>46023</v>
      </c>
      <c r="B92" s="7">
        <v>6.7310504859385799E-3</v>
      </c>
      <c r="C92" s="7">
        <v>1.1599999999999999E-2</v>
      </c>
      <c r="D92" s="7">
        <v>-1.50987321814843E-2</v>
      </c>
      <c r="E92" s="7">
        <v>0.125610550814585</v>
      </c>
      <c r="F92" s="7">
        <f t="shared" si="8"/>
        <v>1.0067310504859386</v>
      </c>
      <c r="G92" s="7">
        <f t="shared" si="9"/>
        <v>1.0116000000000001</v>
      </c>
      <c r="H92" s="7">
        <f t="shared" si="10"/>
        <v>0.98490126781851572</v>
      </c>
      <c r="I92" s="7">
        <f t="shared" si="11"/>
        <v>1.1256105508145851</v>
      </c>
    </row>
    <row r="93" spans="1:9" x14ac:dyDescent="0.25">
      <c r="A93" s="5">
        <v>40878</v>
      </c>
      <c r="B93" s="7">
        <v>7.5242102647978797E-3</v>
      </c>
      <c r="C93" s="7">
        <v>8.99999999999989E-3</v>
      </c>
      <c r="D93" s="7">
        <v>-2.0914981084352899E-2</v>
      </c>
      <c r="E93" s="7">
        <v>-2.1274725274724698E-3</v>
      </c>
      <c r="F93" s="7">
        <f t="shared" si="8"/>
        <v>1.0075242102647979</v>
      </c>
      <c r="G93" s="7">
        <f t="shared" si="9"/>
        <v>1.0089999999999999</v>
      </c>
      <c r="H93" s="7">
        <f t="shared" si="10"/>
        <v>0.97908501891564714</v>
      </c>
      <c r="I93" s="7">
        <f t="shared" si="11"/>
        <v>0.99787252747252753</v>
      </c>
    </row>
    <row r="94" spans="1:9" x14ac:dyDescent="0.25">
      <c r="A94" s="5">
        <v>42522</v>
      </c>
      <c r="B94" s="7">
        <v>7.6862939842350297E-3</v>
      </c>
      <c r="C94" s="7">
        <v>1.1599999999999999E-2</v>
      </c>
      <c r="D94" s="7">
        <v>-0.101423005824271</v>
      </c>
      <c r="E94" s="7">
        <v>6.3026076910381201E-2</v>
      </c>
      <c r="F94" s="7">
        <f t="shared" si="8"/>
        <v>1.007686293984235</v>
      </c>
      <c r="G94" s="7">
        <f t="shared" si="9"/>
        <v>1.0116000000000001</v>
      </c>
      <c r="H94" s="7">
        <f t="shared" si="10"/>
        <v>0.898576994175729</v>
      </c>
      <c r="I94" s="7">
        <f t="shared" si="11"/>
        <v>1.0630260769103812</v>
      </c>
    </row>
    <row r="95" spans="1:9" x14ac:dyDescent="0.25">
      <c r="A95" s="5">
        <v>40940</v>
      </c>
      <c r="B95" s="7">
        <v>8.5383134475334101E-3</v>
      </c>
      <c r="C95" s="7">
        <v>7.4000000000000697E-3</v>
      </c>
      <c r="D95" s="7">
        <v>1.8494177851232099E-2</v>
      </c>
      <c r="E95" s="7">
        <v>4.3442415017757398E-2</v>
      </c>
      <c r="F95" s="7">
        <f t="shared" si="8"/>
        <v>1.0085383134475334</v>
      </c>
      <c r="G95" s="7">
        <f t="shared" si="9"/>
        <v>1.0074000000000001</v>
      </c>
      <c r="H95" s="7">
        <f t="shared" si="10"/>
        <v>1.0184941778512322</v>
      </c>
      <c r="I95" s="7">
        <f t="shared" si="11"/>
        <v>1.0434424150177575</v>
      </c>
    </row>
    <row r="96" spans="1:9" x14ac:dyDescent="0.25">
      <c r="A96" s="5">
        <v>42614</v>
      </c>
      <c r="B96" s="7">
        <v>8.5832684857514094E-3</v>
      </c>
      <c r="C96" s="7">
        <v>1.1100000000000099E-2</v>
      </c>
      <c r="D96" s="7">
        <v>9.6060342318711103E-3</v>
      </c>
      <c r="E96" s="7">
        <v>8.0482202379923394E-3</v>
      </c>
      <c r="F96" s="7">
        <f t="shared" si="8"/>
        <v>1.0085832684857514</v>
      </c>
      <c r="G96" s="7">
        <f t="shared" si="9"/>
        <v>1.0111000000000001</v>
      </c>
      <c r="H96" s="7">
        <f t="shared" si="10"/>
        <v>1.0096060342318711</v>
      </c>
      <c r="I96" s="7">
        <f t="shared" si="11"/>
        <v>1.0080482202379923</v>
      </c>
    </row>
    <row r="97" spans="1:9" x14ac:dyDescent="0.25">
      <c r="A97" s="5">
        <v>41153</v>
      </c>
      <c r="B97" s="7">
        <v>8.9196320969362405E-3</v>
      </c>
      <c r="C97" s="7">
        <v>5.4000000000000697E-3</v>
      </c>
      <c r="D97" s="7">
        <v>7.4733438501559599E-3</v>
      </c>
      <c r="E97" s="7">
        <v>3.7065596466938799E-2</v>
      </c>
      <c r="F97" s="7">
        <f t="shared" si="8"/>
        <v>1.0089196320969362</v>
      </c>
      <c r="G97" s="7">
        <f t="shared" si="9"/>
        <v>1.0054000000000001</v>
      </c>
      <c r="H97" s="7">
        <f t="shared" si="10"/>
        <v>1.007473343850156</v>
      </c>
      <c r="I97" s="7">
        <f t="shared" si="11"/>
        <v>1.0370655964669389</v>
      </c>
    </row>
    <row r="98" spans="1:9" x14ac:dyDescent="0.25">
      <c r="A98" s="5">
        <v>43191</v>
      </c>
      <c r="B98" s="7">
        <v>9.0232709632027605E-3</v>
      </c>
      <c r="C98" s="7">
        <v>5.20000000000009E-3</v>
      </c>
      <c r="D98" s="7">
        <v>5.4924363843916302E-2</v>
      </c>
      <c r="E98" s="7">
        <v>8.7739849588828103E-3</v>
      </c>
      <c r="F98" s="7">
        <f t="shared" ref="F98:F129" si="12">1+B98</f>
        <v>1.0090232709632028</v>
      </c>
      <c r="G98" s="7">
        <f t="shared" ref="G98:G129" si="13">1+C98</f>
        <v>1.0052000000000001</v>
      </c>
      <c r="H98" s="7">
        <f t="shared" ref="H98:H129" si="14">1+D98</f>
        <v>1.0549243638439163</v>
      </c>
      <c r="I98" s="7">
        <f t="shared" ref="I98:I129" si="15">1+E98</f>
        <v>1.0087739849588828</v>
      </c>
    </row>
    <row r="99" spans="1:9" x14ac:dyDescent="0.25">
      <c r="A99" s="5">
        <v>41456</v>
      </c>
      <c r="B99" s="7">
        <v>9.2444251940664302E-3</v>
      </c>
      <c r="C99" s="7">
        <v>7.1000000000001002E-3</v>
      </c>
      <c r="D99" s="7">
        <v>0.104408822151414</v>
      </c>
      <c r="E99" s="7">
        <v>1.6372716353751898E-2</v>
      </c>
      <c r="F99" s="7">
        <f t="shared" si="12"/>
        <v>1.0092444251940664</v>
      </c>
      <c r="G99" s="7">
        <f t="shared" si="13"/>
        <v>1.0071000000000001</v>
      </c>
      <c r="H99" s="7">
        <f t="shared" si="14"/>
        <v>1.1044088221514139</v>
      </c>
      <c r="I99" s="7">
        <f t="shared" si="15"/>
        <v>1.0163727163537519</v>
      </c>
    </row>
    <row r="100" spans="1:9" x14ac:dyDescent="0.25">
      <c r="A100" s="5">
        <v>43344</v>
      </c>
      <c r="B100" s="7">
        <v>1.04156371609138E-2</v>
      </c>
      <c r="C100" s="7">
        <v>4.6999999999999204E-3</v>
      </c>
      <c r="D100" s="7">
        <v>-2.8094126806786999E-2</v>
      </c>
      <c r="E100" s="7">
        <v>3.4742690211012298E-2</v>
      </c>
      <c r="F100" s="7">
        <f t="shared" si="12"/>
        <v>1.0104156371609139</v>
      </c>
      <c r="G100" s="7">
        <f t="shared" si="13"/>
        <v>1.0046999999999999</v>
      </c>
      <c r="H100" s="7">
        <f t="shared" si="14"/>
        <v>0.97190587319321298</v>
      </c>
      <c r="I100" s="7">
        <f t="shared" si="15"/>
        <v>1.0347426902110124</v>
      </c>
    </row>
    <row r="101" spans="1:9" x14ac:dyDescent="0.25">
      <c r="A101" s="5">
        <v>41275</v>
      </c>
      <c r="B101" s="7">
        <v>1.0449080250694E-2</v>
      </c>
      <c r="C101" s="7">
        <v>5.9000000000000103E-3</v>
      </c>
      <c r="D101" s="7">
        <v>2.2563051927840999E-2</v>
      </c>
      <c r="E101" s="7">
        <v>-1.95399658747866E-2</v>
      </c>
      <c r="F101" s="7">
        <f t="shared" si="12"/>
        <v>1.010449080250694</v>
      </c>
      <c r="G101" s="7">
        <f t="shared" si="13"/>
        <v>1.0059</v>
      </c>
      <c r="H101" s="7">
        <f t="shared" si="14"/>
        <v>1.022563051927841</v>
      </c>
      <c r="I101" s="7">
        <f t="shared" si="15"/>
        <v>0.98046003412521343</v>
      </c>
    </row>
    <row r="102" spans="1:9" x14ac:dyDescent="0.25">
      <c r="A102" s="5">
        <v>43525</v>
      </c>
      <c r="B102" s="7">
        <v>1.07275126565173E-2</v>
      </c>
      <c r="C102" s="7">
        <v>4.6999999999999204E-3</v>
      </c>
      <c r="D102" s="7">
        <v>5.9222539721170503E-2</v>
      </c>
      <c r="E102" s="7">
        <v>-1.7680783394710101E-3</v>
      </c>
      <c r="F102" s="7">
        <f t="shared" si="12"/>
        <v>1.0107275126565174</v>
      </c>
      <c r="G102" s="7">
        <f t="shared" si="13"/>
        <v>1.0046999999999999</v>
      </c>
      <c r="H102" s="7">
        <f t="shared" si="14"/>
        <v>1.0592225397211705</v>
      </c>
      <c r="I102" s="7">
        <f t="shared" si="15"/>
        <v>0.99823192166052899</v>
      </c>
    </row>
    <row r="103" spans="1:9" x14ac:dyDescent="0.25">
      <c r="A103" s="5">
        <v>43556</v>
      </c>
      <c r="B103" s="7">
        <v>1.07349991580547E-2</v>
      </c>
      <c r="C103" s="7">
        <v>5.20000000000009E-3</v>
      </c>
      <c r="D103" s="7">
        <v>4.4740120743752297E-2</v>
      </c>
      <c r="E103" s="7">
        <v>9.8307394015615304E-3</v>
      </c>
      <c r="F103" s="7">
        <f t="shared" si="12"/>
        <v>1.0107349991580548</v>
      </c>
      <c r="G103" s="7">
        <f t="shared" si="13"/>
        <v>1.0052000000000001</v>
      </c>
      <c r="H103" s="7">
        <f t="shared" si="14"/>
        <v>1.0447401207437523</v>
      </c>
      <c r="I103" s="7">
        <f t="shared" si="15"/>
        <v>1.0098307394015615</v>
      </c>
    </row>
    <row r="104" spans="1:9" x14ac:dyDescent="0.25">
      <c r="A104" s="5">
        <v>45901</v>
      </c>
      <c r="B104" s="7">
        <v>1.1465264429110601E-2</v>
      </c>
      <c r="C104" s="7">
        <v>1.21999999999999E-2</v>
      </c>
      <c r="D104" s="7">
        <v>1.0064351004143801E-2</v>
      </c>
      <c r="E104" s="7">
        <v>3.4047036528970002E-2</v>
      </c>
      <c r="F104" s="7">
        <f t="shared" si="12"/>
        <v>1.0114652644291107</v>
      </c>
      <c r="G104" s="7">
        <f t="shared" si="13"/>
        <v>1.0122</v>
      </c>
      <c r="H104" s="7">
        <f t="shared" si="14"/>
        <v>1.0100643510041438</v>
      </c>
      <c r="I104" s="7">
        <f t="shared" si="15"/>
        <v>1.03404703652897</v>
      </c>
    </row>
    <row r="105" spans="1:9" x14ac:dyDescent="0.25">
      <c r="A105" s="5">
        <v>44378</v>
      </c>
      <c r="B105" s="7">
        <v>1.18859441607597E-2</v>
      </c>
      <c r="C105" s="7">
        <v>3.6000000000000398E-3</v>
      </c>
      <c r="D105" s="7">
        <v>6.1699936862986603E-2</v>
      </c>
      <c r="E105" s="7">
        <v>-3.9439441018280397E-2</v>
      </c>
      <c r="F105" s="7">
        <f t="shared" si="12"/>
        <v>1.0118859441607597</v>
      </c>
      <c r="G105" s="7">
        <f t="shared" si="13"/>
        <v>1.0036</v>
      </c>
      <c r="H105" s="7">
        <f t="shared" si="14"/>
        <v>1.0616999368629867</v>
      </c>
      <c r="I105" s="7">
        <f t="shared" si="15"/>
        <v>0.96056055898171966</v>
      </c>
    </row>
    <row r="106" spans="1:9" x14ac:dyDescent="0.25">
      <c r="A106" s="5">
        <v>41671</v>
      </c>
      <c r="B106" s="7">
        <v>1.20402766945861E-2</v>
      </c>
      <c r="C106" s="7">
        <v>7.8000000000000196E-3</v>
      </c>
      <c r="D106" s="7">
        <v>1.29247151096827E-2</v>
      </c>
      <c r="E106" s="7">
        <v>-1.14402065534541E-2</v>
      </c>
      <c r="F106" s="7">
        <f t="shared" si="12"/>
        <v>1.0120402766945862</v>
      </c>
      <c r="G106" s="7">
        <f t="shared" si="13"/>
        <v>1.0078</v>
      </c>
      <c r="H106" s="7">
        <f t="shared" si="14"/>
        <v>1.0129247151096827</v>
      </c>
      <c r="I106" s="7">
        <f t="shared" si="15"/>
        <v>0.98855979344654588</v>
      </c>
    </row>
    <row r="107" spans="1:9" x14ac:dyDescent="0.25">
      <c r="A107" s="5">
        <v>41214</v>
      </c>
      <c r="B107" s="7">
        <v>1.23247362232634E-2</v>
      </c>
      <c r="C107" s="7">
        <v>5.4000000000000697E-3</v>
      </c>
      <c r="D107" s="7">
        <v>4.86168772494441E-2</v>
      </c>
      <c r="E107" s="7">
        <v>7.1318427139552797E-3</v>
      </c>
      <c r="F107" s="7">
        <f t="shared" si="12"/>
        <v>1.0123247362232635</v>
      </c>
      <c r="G107" s="7">
        <f t="shared" si="13"/>
        <v>1.0054000000000001</v>
      </c>
      <c r="H107" s="7">
        <f t="shared" si="14"/>
        <v>1.0486168772494442</v>
      </c>
      <c r="I107" s="7">
        <f t="shared" si="15"/>
        <v>1.0071318427139553</v>
      </c>
    </row>
    <row r="108" spans="1:9" x14ac:dyDescent="0.25">
      <c r="A108" s="5">
        <v>40575</v>
      </c>
      <c r="B108" s="7">
        <v>1.2607762211492599E-2</v>
      </c>
      <c r="C108" s="7">
        <v>8.3999999999999596E-3</v>
      </c>
      <c r="D108" s="7">
        <v>4.5482469466234798E-2</v>
      </c>
      <c r="E108" s="7">
        <v>1.2136687945925701E-2</v>
      </c>
      <c r="F108" s="7">
        <f t="shared" si="12"/>
        <v>1.0126077622114926</v>
      </c>
      <c r="G108" s="7">
        <f t="shared" si="13"/>
        <v>1.0084</v>
      </c>
      <c r="H108" s="7">
        <f t="shared" si="14"/>
        <v>1.0454824694662348</v>
      </c>
      <c r="I108" s="7">
        <f t="shared" si="15"/>
        <v>1.0121366879459257</v>
      </c>
    </row>
    <row r="109" spans="1:9" x14ac:dyDescent="0.25">
      <c r="A109" s="5">
        <v>45292</v>
      </c>
      <c r="B109" s="7">
        <v>1.4136673240136E-2</v>
      </c>
      <c r="C109" s="7">
        <v>9.7000000000000402E-3</v>
      </c>
      <c r="D109" s="7">
        <v>3.11238620619298E-2</v>
      </c>
      <c r="E109" s="7">
        <v>-4.7941275105265101E-2</v>
      </c>
      <c r="F109" s="7">
        <f t="shared" si="12"/>
        <v>1.014136673240136</v>
      </c>
      <c r="G109" s="7">
        <f t="shared" si="13"/>
        <v>1.0097</v>
      </c>
      <c r="H109" s="7">
        <f t="shared" si="14"/>
        <v>1.0311238620619299</v>
      </c>
      <c r="I109" s="7">
        <f t="shared" si="15"/>
        <v>0.95205872489473486</v>
      </c>
    </row>
    <row r="110" spans="1:9" x14ac:dyDescent="0.25">
      <c r="A110" s="5">
        <v>42309</v>
      </c>
      <c r="B110" s="7">
        <v>1.44921846384535E-2</v>
      </c>
      <c r="C110" s="7">
        <v>1.0599999999999899E-2</v>
      </c>
      <c r="D110" s="7">
        <v>-1.7001696084251101E-3</v>
      </c>
      <c r="E110" s="7">
        <v>-1.6329111164402901E-2</v>
      </c>
      <c r="F110" s="7">
        <f t="shared" si="12"/>
        <v>1.0144921846384536</v>
      </c>
      <c r="G110" s="7">
        <f t="shared" si="13"/>
        <v>1.0105999999999999</v>
      </c>
      <c r="H110" s="7">
        <f t="shared" si="14"/>
        <v>0.99829983039157488</v>
      </c>
      <c r="I110" s="7">
        <f t="shared" si="15"/>
        <v>0.98367088883559706</v>
      </c>
    </row>
    <row r="111" spans="1:9" x14ac:dyDescent="0.25">
      <c r="A111" s="5">
        <v>42583</v>
      </c>
      <c r="B111" s="7">
        <v>1.45451964610243E-2</v>
      </c>
      <c r="C111" s="7">
        <v>1.21E-2</v>
      </c>
      <c r="D111" s="7">
        <v>5.6626579667851096E-4</v>
      </c>
      <c r="E111" s="7">
        <v>1.03475954491518E-2</v>
      </c>
      <c r="F111" s="7">
        <f t="shared" si="12"/>
        <v>1.0145451964610244</v>
      </c>
      <c r="G111" s="7">
        <f t="shared" si="13"/>
        <v>1.0121</v>
      </c>
      <c r="H111" s="7">
        <f t="shared" si="14"/>
        <v>1.0005662657966785</v>
      </c>
      <c r="I111" s="7">
        <f t="shared" si="15"/>
        <v>1.0103475954491519</v>
      </c>
    </row>
    <row r="112" spans="1:9" x14ac:dyDescent="0.25">
      <c r="A112" s="5">
        <v>45505</v>
      </c>
      <c r="B112" s="7">
        <v>1.5064907632709099E-2</v>
      </c>
      <c r="C112" s="7">
        <v>8.69999999999993E-3</v>
      </c>
      <c r="D112" s="7">
        <v>2.29132452414821E-2</v>
      </c>
      <c r="E112" s="7">
        <v>6.5427882054335196E-2</v>
      </c>
      <c r="F112" s="7">
        <f t="shared" si="12"/>
        <v>1.0150649076327092</v>
      </c>
      <c r="G112" s="7">
        <f t="shared" si="13"/>
        <v>1.0086999999999999</v>
      </c>
      <c r="H112" s="7">
        <f t="shared" si="14"/>
        <v>1.0229132452414822</v>
      </c>
      <c r="I112" s="7">
        <f t="shared" si="15"/>
        <v>1.0654278820543353</v>
      </c>
    </row>
    <row r="113" spans="1:9" x14ac:dyDescent="0.25">
      <c r="A113" s="5">
        <v>43586</v>
      </c>
      <c r="B113" s="7">
        <v>1.6033737259255099E-2</v>
      </c>
      <c r="C113" s="7">
        <v>5.4000000000000697E-3</v>
      </c>
      <c r="D113" s="7">
        <v>-5.1190942630800901E-2</v>
      </c>
      <c r="E113" s="7">
        <v>7.0262472367232896E-3</v>
      </c>
      <c r="F113" s="7">
        <f t="shared" si="12"/>
        <v>1.0160337372592552</v>
      </c>
      <c r="G113" s="7">
        <f t="shared" si="13"/>
        <v>1.0054000000000001</v>
      </c>
      <c r="H113" s="7">
        <f t="shared" si="14"/>
        <v>0.94880905736919907</v>
      </c>
      <c r="I113" s="7">
        <f t="shared" si="15"/>
        <v>1.0070262472367233</v>
      </c>
    </row>
    <row r="114" spans="1:9" x14ac:dyDescent="0.25">
      <c r="A114" s="5">
        <v>42887</v>
      </c>
      <c r="B114" s="7">
        <v>1.7328111785648002E-2</v>
      </c>
      <c r="C114" s="7">
        <v>8.0999999999999892E-3</v>
      </c>
      <c r="D114" s="7">
        <v>1.36803192824708E-2</v>
      </c>
      <c r="E114" s="7">
        <v>3.0138253257003798E-3</v>
      </c>
      <c r="F114" s="7">
        <f t="shared" si="12"/>
        <v>1.0173281117856481</v>
      </c>
      <c r="G114" s="7">
        <f t="shared" si="13"/>
        <v>1.0081</v>
      </c>
      <c r="H114" s="7">
        <f t="shared" si="14"/>
        <v>1.0136803192824708</v>
      </c>
      <c r="I114" s="7">
        <f t="shared" si="15"/>
        <v>1.0030138253257004</v>
      </c>
    </row>
    <row r="115" spans="1:9" x14ac:dyDescent="0.25">
      <c r="A115" s="5">
        <v>44197</v>
      </c>
      <c r="B115" s="7">
        <v>1.7501001444384101E-2</v>
      </c>
      <c r="C115" s="7">
        <v>1.5000000000000499E-3</v>
      </c>
      <c r="D115" s="7">
        <v>5.5938779468713597E-2</v>
      </c>
      <c r="E115" s="7">
        <v>-2.7651584999916101E-2</v>
      </c>
      <c r="F115" s="7">
        <f t="shared" si="12"/>
        <v>1.0175010014443842</v>
      </c>
      <c r="G115" s="7">
        <f t="shared" si="13"/>
        <v>1.0015000000000001</v>
      </c>
      <c r="H115" s="7">
        <f t="shared" si="14"/>
        <v>1.0559387794687136</v>
      </c>
      <c r="I115" s="7">
        <f t="shared" si="15"/>
        <v>0.97234841500008384</v>
      </c>
    </row>
    <row r="116" spans="1:9" x14ac:dyDescent="0.25">
      <c r="A116" s="5">
        <v>41091</v>
      </c>
      <c r="B116" s="7">
        <v>1.7672866142442501E-2</v>
      </c>
      <c r="C116" s="7">
        <v>6.7999999999999103E-3</v>
      </c>
      <c r="D116" s="7">
        <v>2.4192855920802801E-2</v>
      </c>
      <c r="E116" s="7">
        <v>3.2048569588814101E-2</v>
      </c>
      <c r="F116" s="7">
        <f t="shared" si="12"/>
        <v>1.0176728661424426</v>
      </c>
      <c r="G116" s="7">
        <f t="shared" si="13"/>
        <v>1.0067999999999999</v>
      </c>
      <c r="H116" s="7">
        <f t="shared" si="14"/>
        <v>1.0241928559208029</v>
      </c>
      <c r="I116" s="7">
        <f t="shared" si="15"/>
        <v>1.0320485695888142</v>
      </c>
    </row>
    <row r="117" spans="1:9" x14ac:dyDescent="0.25">
      <c r="A117" s="5">
        <v>41730</v>
      </c>
      <c r="B117" s="7">
        <v>1.77189754089912E-2</v>
      </c>
      <c r="C117" s="7">
        <v>8.1999999999999799E-3</v>
      </c>
      <c r="D117" s="7">
        <v>2.8406336124691101E-3</v>
      </c>
      <c r="E117" s="7">
        <v>2.4020628781116601E-2</v>
      </c>
      <c r="F117" s="7">
        <f t="shared" si="12"/>
        <v>1.0177189754089913</v>
      </c>
      <c r="G117" s="7">
        <f t="shared" si="13"/>
        <v>1.0082</v>
      </c>
      <c r="H117" s="7">
        <f t="shared" si="14"/>
        <v>1.0028406336124691</v>
      </c>
      <c r="I117" s="7">
        <f t="shared" si="15"/>
        <v>1.0240206287811167</v>
      </c>
    </row>
    <row r="118" spans="1:9" x14ac:dyDescent="0.25">
      <c r="A118" s="5">
        <v>42401</v>
      </c>
      <c r="B118" s="7">
        <v>1.7866523665735299E-2</v>
      </c>
      <c r="C118" s="7">
        <v>0.01</v>
      </c>
      <c r="D118" s="7">
        <v>-3.5937423915158598E-2</v>
      </c>
      <c r="E118" s="7">
        <v>5.9100133643518099E-2</v>
      </c>
      <c r="F118" s="7">
        <f t="shared" si="12"/>
        <v>1.0178665236657354</v>
      </c>
      <c r="G118" s="7">
        <f t="shared" si="13"/>
        <v>1.01</v>
      </c>
      <c r="H118" s="7">
        <f t="shared" si="14"/>
        <v>0.96406257608484136</v>
      </c>
      <c r="I118" s="7">
        <f t="shared" si="15"/>
        <v>1.0591001336435182</v>
      </c>
    </row>
    <row r="119" spans="1:9" x14ac:dyDescent="0.25">
      <c r="A119" s="5">
        <v>42278</v>
      </c>
      <c r="B119" s="7">
        <v>1.8266248771294999E-2</v>
      </c>
      <c r="C119" s="7">
        <v>1.1100000000000099E-2</v>
      </c>
      <c r="D119" s="7">
        <v>2.24792451806821E-2</v>
      </c>
      <c r="E119" s="7">
        <v>1.79764309017067E-2</v>
      </c>
      <c r="F119" s="7">
        <f t="shared" si="12"/>
        <v>1.018266248771295</v>
      </c>
      <c r="G119" s="7">
        <f t="shared" si="13"/>
        <v>1.0111000000000001</v>
      </c>
      <c r="H119" s="7">
        <f t="shared" si="14"/>
        <v>1.0224792451806821</v>
      </c>
      <c r="I119" s="7">
        <f t="shared" si="15"/>
        <v>1.0179764309017068</v>
      </c>
    </row>
    <row r="120" spans="1:9" x14ac:dyDescent="0.25">
      <c r="A120" s="5">
        <v>41791</v>
      </c>
      <c r="B120" s="7">
        <v>1.83331156785622E-2</v>
      </c>
      <c r="C120" s="7">
        <v>8.1999999999999799E-3</v>
      </c>
      <c r="D120" s="8">
        <v>7.8043822759887799E-3</v>
      </c>
      <c r="E120" s="7">
        <v>3.7647104744432801E-2</v>
      </c>
      <c r="F120" s="7">
        <f t="shared" si="12"/>
        <v>1.0183331156785622</v>
      </c>
      <c r="G120" s="7">
        <f t="shared" si="13"/>
        <v>1.0082</v>
      </c>
      <c r="H120" s="7">
        <f t="shared" si="14"/>
        <v>1.0078043822759888</v>
      </c>
      <c r="I120" s="7">
        <f t="shared" si="15"/>
        <v>1.0376471047444329</v>
      </c>
    </row>
    <row r="121" spans="1:9" x14ac:dyDescent="0.25">
      <c r="A121" s="5">
        <v>44835</v>
      </c>
      <c r="B121" s="7">
        <v>1.95238901448955E-2</v>
      </c>
      <c r="C121" s="7">
        <v>1.01999999999999E-2</v>
      </c>
      <c r="D121" s="7">
        <v>4.7461641605360802E-2</v>
      </c>
      <c r="E121" s="7">
        <v>5.45271136072411E-2</v>
      </c>
      <c r="F121" s="7">
        <f t="shared" si="12"/>
        <v>1.0195238901448955</v>
      </c>
      <c r="G121" s="7">
        <f t="shared" si="13"/>
        <v>1.0102</v>
      </c>
      <c r="H121" s="7">
        <f t="shared" si="14"/>
        <v>1.0474616416053608</v>
      </c>
      <c r="I121" s="7">
        <f t="shared" si="15"/>
        <v>1.0545271136072412</v>
      </c>
    </row>
    <row r="122" spans="1:9" x14ac:dyDescent="0.25">
      <c r="A122" s="5">
        <v>43070</v>
      </c>
      <c r="B122" s="7">
        <v>1.9905378999253799E-2</v>
      </c>
      <c r="C122" s="7">
        <v>5.4000000000000697E-3</v>
      </c>
      <c r="D122" s="7">
        <v>2.9832178853994099E-2</v>
      </c>
      <c r="E122" s="7">
        <v>6.1566464270331002E-2</v>
      </c>
      <c r="F122" s="7">
        <f t="shared" si="12"/>
        <v>1.0199053789992538</v>
      </c>
      <c r="G122" s="7">
        <f t="shared" si="13"/>
        <v>1.0054000000000001</v>
      </c>
      <c r="H122" s="7">
        <f t="shared" si="14"/>
        <v>1.0298321788539941</v>
      </c>
      <c r="I122" s="7">
        <f t="shared" si="15"/>
        <v>1.0615664642703311</v>
      </c>
    </row>
    <row r="123" spans="1:9" x14ac:dyDescent="0.25">
      <c r="A123" s="5">
        <v>42461</v>
      </c>
      <c r="B123" s="7">
        <v>2.07112704604244E-2</v>
      </c>
      <c r="C123" s="7">
        <v>1.04999999999999E-2</v>
      </c>
      <c r="D123" s="7">
        <v>-3.2028699428166198E-2</v>
      </c>
      <c r="E123" s="7">
        <v>7.7035261212666101E-2</v>
      </c>
      <c r="F123" s="7">
        <f t="shared" si="12"/>
        <v>1.0207112704604244</v>
      </c>
      <c r="G123" s="7">
        <f t="shared" si="13"/>
        <v>1.0105</v>
      </c>
      <c r="H123" s="7">
        <f t="shared" si="14"/>
        <v>0.96797130057183378</v>
      </c>
      <c r="I123" s="7">
        <f t="shared" si="15"/>
        <v>1.0770352612126661</v>
      </c>
    </row>
    <row r="124" spans="1:9" x14ac:dyDescent="0.25">
      <c r="A124" s="5">
        <v>41548</v>
      </c>
      <c r="B124" s="7">
        <v>2.13190341451166E-2</v>
      </c>
      <c r="C124" s="7">
        <v>8.0000000000000002E-3</v>
      </c>
      <c r="D124" s="7">
        <v>2.21159449833641E-2</v>
      </c>
      <c r="E124" s="7">
        <v>3.6646413695593898E-2</v>
      </c>
      <c r="F124" s="7">
        <f t="shared" si="12"/>
        <v>1.0213190341451166</v>
      </c>
      <c r="G124" s="7">
        <f t="shared" si="13"/>
        <v>1.008</v>
      </c>
      <c r="H124" s="7">
        <f t="shared" si="14"/>
        <v>1.0221159449833641</v>
      </c>
      <c r="I124" s="7">
        <f t="shared" si="15"/>
        <v>1.036646413695594</v>
      </c>
    </row>
    <row r="125" spans="1:9" x14ac:dyDescent="0.25">
      <c r="A125" s="5">
        <v>41244</v>
      </c>
      <c r="B125" s="7">
        <v>2.1654402273758502E-2</v>
      </c>
      <c r="C125" s="7">
        <v>5.3000000000000798E-3</v>
      </c>
      <c r="D125" s="7">
        <v>-4.9705101956939403E-3</v>
      </c>
      <c r="E125" s="7">
        <v>6.0495867768594898E-2</v>
      </c>
      <c r="F125" s="7">
        <f t="shared" si="12"/>
        <v>1.0216544022737586</v>
      </c>
      <c r="G125" s="7">
        <f t="shared" si="13"/>
        <v>1.0053000000000001</v>
      </c>
      <c r="H125" s="7">
        <f t="shared" si="14"/>
        <v>0.99502948980430606</v>
      </c>
      <c r="I125" s="7">
        <f t="shared" si="15"/>
        <v>1.0604958677685949</v>
      </c>
    </row>
    <row r="126" spans="1:9" x14ac:dyDescent="0.25">
      <c r="A126" s="5">
        <v>45352</v>
      </c>
      <c r="B126" s="7">
        <v>2.1777378206679399E-2</v>
      </c>
      <c r="C126" s="7">
        <v>8.2999999999999706E-3</v>
      </c>
      <c r="D126" s="7">
        <v>3.74052638671706E-2</v>
      </c>
      <c r="E126" s="7">
        <v>-7.0841729964347096E-3</v>
      </c>
      <c r="F126" s="7">
        <f t="shared" si="12"/>
        <v>1.0217773782066795</v>
      </c>
      <c r="G126" s="7">
        <f t="shared" si="13"/>
        <v>1.0083</v>
      </c>
      <c r="H126" s="7">
        <f t="shared" si="14"/>
        <v>1.0374052638671707</v>
      </c>
      <c r="I126" s="7">
        <f t="shared" si="15"/>
        <v>0.99291582700356529</v>
      </c>
    </row>
    <row r="127" spans="1:9" x14ac:dyDescent="0.25">
      <c r="A127" s="5">
        <v>41913</v>
      </c>
      <c r="B127" s="7">
        <v>2.2068341439764199E-2</v>
      </c>
      <c r="C127" s="7">
        <v>9.4000000000000698E-3</v>
      </c>
      <c r="D127" s="7">
        <v>-3.1637400457139499E-3</v>
      </c>
      <c r="E127" s="7">
        <v>9.4796363367579597E-3</v>
      </c>
      <c r="F127" s="7">
        <f t="shared" si="12"/>
        <v>1.0220683414397642</v>
      </c>
      <c r="G127" s="7">
        <f t="shared" si="13"/>
        <v>1.0094000000000001</v>
      </c>
      <c r="H127" s="7">
        <f t="shared" si="14"/>
        <v>0.99683625995428604</v>
      </c>
      <c r="I127" s="7">
        <f t="shared" si="15"/>
        <v>1.009479636336758</v>
      </c>
    </row>
    <row r="128" spans="1:9" x14ac:dyDescent="0.25">
      <c r="A128" s="5">
        <v>41944</v>
      </c>
      <c r="B128" s="7">
        <v>2.2109130520188501E-2</v>
      </c>
      <c r="C128" s="7">
        <v>8.3999999999999596E-3</v>
      </c>
      <c r="D128" s="7">
        <v>6.5592682958539997E-2</v>
      </c>
      <c r="E128" s="7">
        <v>6.4068535027184104E-4</v>
      </c>
      <c r="F128" s="7">
        <f t="shared" si="12"/>
        <v>1.0221091305201886</v>
      </c>
      <c r="G128" s="7">
        <f t="shared" si="13"/>
        <v>1.0084</v>
      </c>
      <c r="H128" s="7">
        <f t="shared" si="14"/>
        <v>1.06559268295854</v>
      </c>
      <c r="I128" s="7">
        <f t="shared" si="15"/>
        <v>1.0006406853502718</v>
      </c>
    </row>
    <row r="129" spans="1:9" x14ac:dyDescent="0.25">
      <c r="A129" s="5">
        <v>45078</v>
      </c>
      <c r="B129" s="7">
        <v>2.3338008390308501E-2</v>
      </c>
      <c r="C129" s="7">
        <v>1.0699999999999901E-2</v>
      </c>
      <c r="D129" s="7">
        <v>1.36367262039434E-2</v>
      </c>
      <c r="E129" s="7">
        <v>9.0017076660358894E-2</v>
      </c>
      <c r="F129" s="7">
        <f t="shared" si="12"/>
        <v>1.0233380083903085</v>
      </c>
      <c r="G129" s="7">
        <f t="shared" si="13"/>
        <v>1.0106999999999999</v>
      </c>
      <c r="H129" s="7">
        <f t="shared" si="14"/>
        <v>1.0136367262039434</v>
      </c>
      <c r="I129" s="7">
        <f t="shared" si="15"/>
        <v>1.090017076660359</v>
      </c>
    </row>
    <row r="130" spans="1:9" x14ac:dyDescent="0.25">
      <c r="A130" s="5">
        <v>43952</v>
      </c>
      <c r="B130" s="7">
        <v>2.38521023810618E-2</v>
      </c>
      <c r="C130" s="7">
        <v>2.3999999999999499E-3</v>
      </c>
      <c r="D130" s="7">
        <v>5.1592086730708198E-2</v>
      </c>
      <c r="E130" s="7">
        <v>8.5670633244726999E-2</v>
      </c>
      <c r="F130" s="7">
        <f t="shared" ref="F130:F161" si="16">1+B130</f>
        <v>1.0238521023810618</v>
      </c>
      <c r="G130" s="7">
        <f t="shared" ref="G130:G161" si="17">1+C130</f>
        <v>1.0024</v>
      </c>
      <c r="H130" s="7">
        <f t="shared" ref="H130:H161" si="18">1+D130</f>
        <v>1.0515920867307083</v>
      </c>
      <c r="I130" s="7">
        <f t="shared" ref="I130:I161" si="19">1+E130</f>
        <v>1.085670633244727</v>
      </c>
    </row>
    <row r="131" spans="1:9" x14ac:dyDescent="0.25">
      <c r="A131" s="5">
        <v>43800</v>
      </c>
      <c r="B131" s="7">
        <v>2.5336654631774799E-2</v>
      </c>
      <c r="C131" s="7">
        <v>3.7000000000000301E-3</v>
      </c>
      <c r="D131" s="7">
        <v>-2.6461642643034699E-2</v>
      </c>
      <c r="E131" s="7">
        <v>6.8481886300850905E-2</v>
      </c>
      <c r="F131" s="7">
        <f t="shared" si="16"/>
        <v>1.0253366546317748</v>
      </c>
      <c r="G131" s="7">
        <f t="shared" si="17"/>
        <v>1.0037</v>
      </c>
      <c r="H131" s="7">
        <f t="shared" si="18"/>
        <v>0.97353835735696526</v>
      </c>
      <c r="I131" s="7">
        <f t="shared" si="19"/>
        <v>1.0684818863008509</v>
      </c>
    </row>
    <row r="132" spans="1:9" x14ac:dyDescent="0.25">
      <c r="A132" s="5">
        <v>42736</v>
      </c>
      <c r="B132" s="7">
        <v>2.5633923135516899E-2</v>
      </c>
      <c r="C132" s="7">
        <v>1.07999999999999E-2</v>
      </c>
      <c r="D132" s="7">
        <v>-3.0531028435326602E-3</v>
      </c>
      <c r="E132" s="7">
        <v>7.3787503943414101E-2</v>
      </c>
      <c r="F132" s="7">
        <f t="shared" si="16"/>
        <v>1.0256339231355169</v>
      </c>
      <c r="G132" s="7">
        <f t="shared" si="17"/>
        <v>1.0107999999999999</v>
      </c>
      <c r="H132" s="7">
        <f t="shared" si="18"/>
        <v>0.99694689715646734</v>
      </c>
      <c r="I132" s="7">
        <f t="shared" si="19"/>
        <v>1.0737875039434142</v>
      </c>
    </row>
    <row r="133" spans="1:9" x14ac:dyDescent="0.25">
      <c r="A133" s="5">
        <v>44044</v>
      </c>
      <c r="B133" s="7">
        <v>2.60368788575078E-2</v>
      </c>
      <c r="C133" s="7">
        <v>1.60000000000004E-3</v>
      </c>
      <c r="D133" s="7">
        <v>0.10861681399201099</v>
      </c>
      <c r="E133" s="7">
        <v>-3.4427472014925298E-2</v>
      </c>
      <c r="F133" s="7">
        <f t="shared" si="16"/>
        <v>1.0260368788575078</v>
      </c>
      <c r="G133" s="7">
        <f t="shared" si="17"/>
        <v>1.0016</v>
      </c>
      <c r="H133" s="7">
        <f t="shared" si="18"/>
        <v>1.108616813992011</v>
      </c>
      <c r="I133" s="7">
        <f t="shared" si="19"/>
        <v>0.96557252798507465</v>
      </c>
    </row>
    <row r="134" spans="1:9" x14ac:dyDescent="0.25">
      <c r="A134" s="5">
        <v>44256</v>
      </c>
      <c r="B134" s="7">
        <v>2.6075936698877599E-2</v>
      </c>
      <c r="C134" s="7">
        <v>2E-3</v>
      </c>
      <c r="D134" s="7">
        <v>5.7720972978777298E-2</v>
      </c>
      <c r="E134" s="7">
        <v>5.9971827145908201E-2</v>
      </c>
      <c r="F134" s="7">
        <f t="shared" si="16"/>
        <v>1.0260759366988776</v>
      </c>
      <c r="G134" s="7">
        <f t="shared" si="17"/>
        <v>1.002</v>
      </c>
      <c r="H134" s="7">
        <f t="shared" si="18"/>
        <v>1.0577209729787773</v>
      </c>
      <c r="I134" s="7">
        <f t="shared" si="19"/>
        <v>1.0599718271459082</v>
      </c>
    </row>
    <row r="135" spans="1:9" x14ac:dyDescent="0.25">
      <c r="A135" s="5">
        <v>41699</v>
      </c>
      <c r="B135" s="7">
        <v>2.6849158032526702E-2</v>
      </c>
      <c r="C135" s="7">
        <v>7.6000000000000503E-3</v>
      </c>
      <c r="D135" s="7">
        <v>-2.79381519294454E-2</v>
      </c>
      <c r="E135" s="7">
        <v>7.0518537393298594E-2</v>
      </c>
      <c r="F135" s="7">
        <f t="shared" si="16"/>
        <v>1.0268491580325267</v>
      </c>
      <c r="G135" s="7">
        <f t="shared" si="17"/>
        <v>1.0076000000000001</v>
      </c>
      <c r="H135" s="7">
        <f t="shared" si="18"/>
        <v>0.97206184807055462</v>
      </c>
      <c r="I135" s="7">
        <f t="shared" si="19"/>
        <v>1.0705185373932986</v>
      </c>
    </row>
    <row r="136" spans="1:9" x14ac:dyDescent="0.25">
      <c r="A136" s="5">
        <v>43405</v>
      </c>
      <c r="B136" s="7">
        <v>2.8365990195276101E-2</v>
      </c>
      <c r="C136" s="7">
        <v>4.8999999999999001E-3</v>
      </c>
      <c r="D136" s="7">
        <v>6.0375149997530603E-2</v>
      </c>
      <c r="E136" s="7">
        <v>2.3792093704245901E-2</v>
      </c>
      <c r="F136" s="7">
        <f t="shared" si="16"/>
        <v>1.0283659901952762</v>
      </c>
      <c r="G136" s="7">
        <f t="shared" si="17"/>
        <v>1.0048999999999999</v>
      </c>
      <c r="H136" s="7">
        <f t="shared" si="18"/>
        <v>1.0603751499975307</v>
      </c>
      <c r="I136" s="7">
        <f t="shared" si="19"/>
        <v>1.023792093704246</v>
      </c>
    </row>
    <row r="137" spans="1:9" x14ac:dyDescent="0.25">
      <c r="A137" s="5">
        <v>43709</v>
      </c>
      <c r="B137" s="7">
        <v>2.8901559681138299E-2</v>
      </c>
      <c r="C137" s="7">
        <v>4.5999999999999297E-3</v>
      </c>
      <c r="D137" s="7">
        <v>1.41692242229254E-2</v>
      </c>
      <c r="E137" s="7">
        <v>3.5694863301527699E-2</v>
      </c>
      <c r="F137" s="7">
        <f t="shared" si="16"/>
        <v>1.0289015596811384</v>
      </c>
      <c r="G137" s="7">
        <f t="shared" si="17"/>
        <v>1.0045999999999999</v>
      </c>
      <c r="H137" s="7">
        <f t="shared" si="18"/>
        <v>1.0141692242229254</v>
      </c>
      <c r="I137" s="7">
        <f t="shared" si="19"/>
        <v>1.0356948633015277</v>
      </c>
    </row>
    <row r="138" spans="1:9" x14ac:dyDescent="0.25">
      <c r="A138" s="5">
        <v>41518</v>
      </c>
      <c r="B138" s="7">
        <v>2.9441748131993E-2</v>
      </c>
      <c r="C138" s="7">
        <v>6.99999999999989E-3</v>
      </c>
      <c r="D138" s="7">
        <v>-1.8484088986728899E-2</v>
      </c>
      <c r="E138" s="7">
        <v>4.6592545192769098E-2</v>
      </c>
      <c r="F138" s="7">
        <f t="shared" si="16"/>
        <v>1.0294417481319931</v>
      </c>
      <c r="G138" s="7">
        <f t="shared" si="17"/>
        <v>1.0069999999999999</v>
      </c>
      <c r="H138" s="7">
        <f t="shared" si="18"/>
        <v>0.98151591101327107</v>
      </c>
      <c r="I138" s="7">
        <f t="shared" si="19"/>
        <v>1.0465925451927691</v>
      </c>
    </row>
    <row r="139" spans="1:9" x14ac:dyDescent="0.25">
      <c r="A139" s="5">
        <v>42917</v>
      </c>
      <c r="B139" s="7">
        <v>2.94684667147324E-2</v>
      </c>
      <c r="C139" s="7">
        <v>8.0000000000000002E-3</v>
      </c>
      <c r="D139" s="7">
        <v>-5.5211761758974199E-3</v>
      </c>
      <c r="E139" s="7">
        <v>4.8012718600953699E-2</v>
      </c>
      <c r="F139" s="7">
        <f t="shared" si="16"/>
        <v>1.0294684667147325</v>
      </c>
      <c r="G139" s="7">
        <f t="shared" si="17"/>
        <v>1.008</v>
      </c>
      <c r="H139" s="7">
        <f t="shared" si="18"/>
        <v>0.99447882382410258</v>
      </c>
      <c r="I139" s="7">
        <f t="shared" si="19"/>
        <v>1.0480127186009538</v>
      </c>
    </row>
    <row r="140" spans="1:9" x14ac:dyDescent="0.25">
      <c r="A140" s="5">
        <v>42948</v>
      </c>
      <c r="B140" s="7">
        <v>2.9886096205770301E-2</v>
      </c>
      <c r="C140" s="7">
        <v>8.0000000000000002E-3</v>
      </c>
      <c r="D140" s="7">
        <v>-1.78929292989793E-3</v>
      </c>
      <c r="E140" s="7">
        <v>7.4560072815534006E-2</v>
      </c>
      <c r="F140" s="7">
        <f t="shared" si="16"/>
        <v>1.0298860962057703</v>
      </c>
      <c r="G140" s="7">
        <f t="shared" si="17"/>
        <v>1.008</v>
      </c>
      <c r="H140" s="7">
        <f t="shared" si="18"/>
        <v>0.99821070707010207</v>
      </c>
      <c r="I140" s="7">
        <f t="shared" si="19"/>
        <v>1.074560072815534</v>
      </c>
    </row>
    <row r="141" spans="1:9" x14ac:dyDescent="0.25">
      <c r="A141" s="5">
        <v>43739</v>
      </c>
      <c r="B141" s="7">
        <v>3.0624288629275499E-2</v>
      </c>
      <c r="C141" s="7">
        <v>4.7999999999999102E-3</v>
      </c>
      <c r="D141" s="7">
        <v>-8.6326803904509496E-3</v>
      </c>
      <c r="E141" s="7">
        <v>2.3628812831161399E-2</v>
      </c>
      <c r="F141" s="7">
        <f t="shared" si="16"/>
        <v>1.0306242886292756</v>
      </c>
      <c r="G141" s="7">
        <f t="shared" si="17"/>
        <v>1.0047999999999999</v>
      </c>
      <c r="H141" s="7">
        <f t="shared" si="18"/>
        <v>0.99136731960954905</v>
      </c>
      <c r="I141" s="7">
        <f t="shared" si="19"/>
        <v>1.0236288128311615</v>
      </c>
    </row>
    <row r="142" spans="1:9" x14ac:dyDescent="0.25">
      <c r="A142" s="5">
        <v>42767</v>
      </c>
      <c r="B142" s="7">
        <v>3.0810265893216299E-2</v>
      </c>
      <c r="C142" s="7">
        <v>8.5999999999999393E-3</v>
      </c>
      <c r="D142" s="7">
        <v>2.02609382812684E-2</v>
      </c>
      <c r="E142" s="7">
        <v>3.0786596774442902E-2</v>
      </c>
      <c r="F142" s="7">
        <f t="shared" si="16"/>
        <v>1.0308102658932163</v>
      </c>
      <c r="G142" s="7">
        <f t="shared" si="17"/>
        <v>1.0085999999999999</v>
      </c>
      <c r="H142" s="7">
        <f t="shared" si="18"/>
        <v>1.0202609382812684</v>
      </c>
      <c r="I142" s="7">
        <f t="shared" si="19"/>
        <v>1.030786596774443</v>
      </c>
    </row>
    <row r="143" spans="1:9" x14ac:dyDescent="0.25">
      <c r="A143" s="5">
        <v>45323</v>
      </c>
      <c r="B143" s="7">
        <v>3.10043452881818E-2</v>
      </c>
      <c r="C143" s="7">
        <v>8.0000000000000002E-3</v>
      </c>
      <c r="D143" s="7">
        <v>4.8495006377252403E-2</v>
      </c>
      <c r="E143" s="7">
        <v>9.9254806186987992E-3</v>
      </c>
      <c r="F143" s="7">
        <f t="shared" si="16"/>
        <v>1.0310043452881819</v>
      </c>
      <c r="G143" s="7">
        <f t="shared" si="17"/>
        <v>1.008</v>
      </c>
      <c r="H143" s="7">
        <f t="shared" si="18"/>
        <v>1.0484950063772525</v>
      </c>
      <c r="I143" s="7">
        <f t="shared" si="19"/>
        <v>1.0099254806186988</v>
      </c>
    </row>
    <row r="144" spans="1:9" x14ac:dyDescent="0.25">
      <c r="A144" s="5">
        <v>40603</v>
      </c>
      <c r="B144" s="7">
        <v>3.1073872195467301E-2</v>
      </c>
      <c r="C144" s="7">
        <v>9.2000000000000901E-3</v>
      </c>
      <c r="D144" s="7">
        <v>-1.9565799556085301E-2</v>
      </c>
      <c r="E144" s="7">
        <v>1.7868008251339301E-2</v>
      </c>
      <c r="F144" s="7">
        <f t="shared" si="16"/>
        <v>1.0310738721954673</v>
      </c>
      <c r="G144" s="7">
        <f t="shared" si="17"/>
        <v>1.0092000000000001</v>
      </c>
      <c r="H144" s="7">
        <f t="shared" si="18"/>
        <v>0.98043420044391472</v>
      </c>
      <c r="I144" s="7">
        <f t="shared" si="19"/>
        <v>1.0178680082513394</v>
      </c>
    </row>
    <row r="145" spans="1:9" x14ac:dyDescent="0.25">
      <c r="A145" s="5">
        <v>44531</v>
      </c>
      <c r="B145" s="7">
        <v>3.1178559424731501E-2</v>
      </c>
      <c r="C145" s="7">
        <v>7.7000000000000401E-3</v>
      </c>
      <c r="D145" s="7">
        <v>2.4695053322201201E-2</v>
      </c>
      <c r="E145" s="7">
        <v>2.8523769808173501E-2</v>
      </c>
      <c r="F145" s="7">
        <f t="shared" si="16"/>
        <v>1.0311785594247316</v>
      </c>
      <c r="G145" s="7">
        <f t="shared" si="17"/>
        <v>1.0077</v>
      </c>
      <c r="H145" s="7">
        <f t="shared" si="18"/>
        <v>1.0246950533222012</v>
      </c>
      <c r="I145" s="7">
        <f t="shared" si="19"/>
        <v>1.0285237698081735</v>
      </c>
    </row>
    <row r="146" spans="1:9" x14ac:dyDescent="0.25">
      <c r="A146" s="5">
        <v>41821</v>
      </c>
      <c r="B146" s="7">
        <v>3.17857019207268E-2</v>
      </c>
      <c r="C146" s="7">
        <v>9.4000000000000698E-3</v>
      </c>
      <c r="D146" s="7">
        <v>1.3239817919749699E-2</v>
      </c>
      <c r="E146" s="7">
        <v>5.0048901594944302E-2</v>
      </c>
      <c r="F146" s="7">
        <f t="shared" si="16"/>
        <v>1.0317857019207268</v>
      </c>
      <c r="G146" s="7">
        <f t="shared" si="17"/>
        <v>1.0094000000000001</v>
      </c>
      <c r="H146" s="7">
        <f t="shared" si="18"/>
        <v>1.0132398179197497</v>
      </c>
      <c r="I146" s="7">
        <f t="shared" si="19"/>
        <v>1.0500489015949444</v>
      </c>
    </row>
    <row r="147" spans="1:9" x14ac:dyDescent="0.25">
      <c r="A147" s="5">
        <v>42036</v>
      </c>
      <c r="B147" s="7">
        <v>3.1889712761400103E-2</v>
      </c>
      <c r="C147" s="7">
        <v>8.1999999999999799E-3</v>
      </c>
      <c r="D147" s="7">
        <v>0.14898707504124101</v>
      </c>
      <c r="E147" s="7">
        <v>9.9663170461328596E-2</v>
      </c>
      <c r="F147" s="7">
        <f t="shared" si="16"/>
        <v>1.0318897127614002</v>
      </c>
      <c r="G147" s="7">
        <f t="shared" si="17"/>
        <v>1.0082</v>
      </c>
      <c r="H147" s="7">
        <f t="shared" si="18"/>
        <v>1.148987075041241</v>
      </c>
      <c r="I147" s="7">
        <f t="shared" si="19"/>
        <v>1.0996631704613287</v>
      </c>
    </row>
    <row r="148" spans="1:9" x14ac:dyDescent="0.25">
      <c r="A148" s="5">
        <v>44287</v>
      </c>
      <c r="B148" s="7">
        <v>3.2319891240735803E-2</v>
      </c>
      <c r="C148" s="7">
        <v>2.0999999999999899E-3</v>
      </c>
      <c r="D148" s="7">
        <v>-3.4688388747875797E-2</v>
      </c>
      <c r="E148" s="7">
        <v>1.9376854090573801E-2</v>
      </c>
      <c r="F148" s="7">
        <f t="shared" si="16"/>
        <v>1.0323198912407359</v>
      </c>
      <c r="G148" s="7">
        <f t="shared" si="17"/>
        <v>1.0021</v>
      </c>
      <c r="H148" s="7">
        <f t="shared" si="18"/>
        <v>0.96531161125212417</v>
      </c>
      <c r="I148" s="7">
        <f t="shared" si="19"/>
        <v>1.0193768540905739</v>
      </c>
    </row>
    <row r="149" spans="1:9" x14ac:dyDescent="0.25">
      <c r="A149" s="5">
        <v>43983</v>
      </c>
      <c r="B149" s="7">
        <v>3.2693131978713097E-2</v>
      </c>
      <c r="C149" s="7">
        <v>2.0999999999999899E-3</v>
      </c>
      <c r="D149" s="7">
        <v>3.9209123720118998E-2</v>
      </c>
      <c r="E149" s="7">
        <v>8.7559923572417306E-2</v>
      </c>
      <c r="F149" s="7">
        <f t="shared" si="16"/>
        <v>1.0326931319787132</v>
      </c>
      <c r="G149" s="7">
        <f t="shared" si="17"/>
        <v>1.0021</v>
      </c>
      <c r="H149" s="7">
        <f t="shared" si="18"/>
        <v>1.0392091237201191</v>
      </c>
      <c r="I149" s="7">
        <f t="shared" si="19"/>
        <v>1.0875599235724174</v>
      </c>
    </row>
    <row r="150" spans="1:9" x14ac:dyDescent="0.25">
      <c r="A150" s="5">
        <v>42979</v>
      </c>
      <c r="B150" s="7">
        <v>3.3820534286374597E-2</v>
      </c>
      <c r="C150" s="7">
        <v>6.3999999999999604E-3</v>
      </c>
      <c r="D150" s="7">
        <v>2.3053986685691301E-2</v>
      </c>
      <c r="E150" s="7">
        <v>4.8831792193124897E-2</v>
      </c>
      <c r="F150" s="7">
        <f t="shared" si="16"/>
        <v>1.0338205342863747</v>
      </c>
      <c r="G150" s="7">
        <f t="shared" si="17"/>
        <v>1.0064</v>
      </c>
      <c r="H150" s="7">
        <f t="shared" si="18"/>
        <v>1.0230539866856914</v>
      </c>
      <c r="I150" s="7">
        <f t="shared" si="19"/>
        <v>1.0488317921931249</v>
      </c>
    </row>
    <row r="151" spans="1:9" x14ac:dyDescent="0.25">
      <c r="A151" s="5">
        <v>42552</v>
      </c>
      <c r="B151" s="7">
        <v>3.4614119929531298E-2</v>
      </c>
      <c r="C151" s="7">
        <v>1.1100000000000099E-2</v>
      </c>
      <c r="D151" s="7">
        <v>5.2745250033872502E-2</v>
      </c>
      <c r="E151" s="7">
        <v>0.112193607235041</v>
      </c>
      <c r="F151" s="7">
        <f t="shared" si="16"/>
        <v>1.0346141199295313</v>
      </c>
      <c r="G151" s="7">
        <f t="shared" si="17"/>
        <v>1.0111000000000001</v>
      </c>
      <c r="H151" s="7">
        <f t="shared" si="18"/>
        <v>1.0527452500338725</v>
      </c>
      <c r="I151" s="7">
        <f t="shared" si="19"/>
        <v>1.1121936072350409</v>
      </c>
    </row>
    <row r="152" spans="1:9" x14ac:dyDescent="0.25">
      <c r="A152" s="5">
        <v>42644</v>
      </c>
      <c r="B152" s="7">
        <v>3.5166503259055099E-2</v>
      </c>
      <c r="C152" s="7">
        <v>1.04999999999999E-2</v>
      </c>
      <c r="D152" s="7">
        <v>-3.1676245840040203E-2</v>
      </c>
      <c r="E152" s="7">
        <v>0.112358010519642</v>
      </c>
      <c r="F152" s="7">
        <f t="shared" si="16"/>
        <v>1.0351665032590551</v>
      </c>
      <c r="G152" s="7">
        <f t="shared" si="17"/>
        <v>1.0105</v>
      </c>
      <c r="H152" s="7">
        <f t="shared" si="18"/>
        <v>0.96832375415995975</v>
      </c>
      <c r="I152" s="7">
        <f t="shared" si="19"/>
        <v>1.112358010519642</v>
      </c>
    </row>
    <row r="153" spans="1:9" x14ac:dyDescent="0.25">
      <c r="A153" s="5">
        <v>45413</v>
      </c>
      <c r="B153" s="7">
        <v>3.5812998423649899E-2</v>
      </c>
      <c r="C153" s="7">
        <v>8.2999999999999706E-3</v>
      </c>
      <c r="D153" s="7">
        <v>6.3387809728409003E-2</v>
      </c>
      <c r="E153" s="7">
        <v>-3.0383405863854299E-2</v>
      </c>
      <c r="F153" s="7">
        <f t="shared" si="16"/>
        <v>1.0358129984236499</v>
      </c>
      <c r="G153" s="7">
        <f t="shared" si="17"/>
        <v>1.0083</v>
      </c>
      <c r="H153" s="7">
        <f t="shared" si="18"/>
        <v>1.0633878097284091</v>
      </c>
      <c r="I153" s="7">
        <f t="shared" si="19"/>
        <v>0.96961659413614565</v>
      </c>
    </row>
    <row r="154" spans="1:9" x14ac:dyDescent="0.25">
      <c r="A154" s="5">
        <v>45108</v>
      </c>
      <c r="B154" s="7">
        <v>3.7162598607361798E-2</v>
      </c>
      <c r="C154" s="7">
        <v>1.0699999999999901E-2</v>
      </c>
      <c r="D154" s="7">
        <v>1.5715130500203199E-2</v>
      </c>
      <c r="E154" s="7">
        <v>3.2653890775445199E-2</v>
      </c>
      <c r="F154" s="7">
        <f t="shared" si="16"/>
        <v>1.0371625986073618</v>
      </c>
      <c r="G154" s="7">
        <f t="shared" si="17"/>
        <v>1.0106999999999999</v>
      </c>
      <c r="H154" s="7">
        <f t="shared" si="18"/>
        <v>1.0157151305002032</v>
      </c>
      <c r="I154" s="7">
        <f t="shared" si="19"/>
        <v>1.0326538907754452</v>
      </c>
    </row>
    <row r="155" spans="1:9" x14ac:dyDescent="0.25">
      <c r="A155" s="5">
        <v>45566</v>
      </c>
      <c r="B155" s="7">
        <v>3.7306388237553001E-2</v>
      </c>
      <c r="C155" s="7">
        <v>9.3000000000000808E-3</v>
      </c>
      <c r="D155" s="7">
        <v>4.1102491060375002E-2</v>
      </c>
      <c r="E155" s="7">
        <v>-1.5954057170601499E-2</v>
      </c>
      <c r="F155" s="7">
        <f t="shared" si="16"/>
        <v>1.0373063882375531</v>
      </c>
      <c r="G155" s="7">
        <f t="shared" si="17"/>
        <v>1.0093000000000001</v>
      </c>
      <c r="H155" s="7">
        <f t="shared" si="18"/>
        <v>1.041102491060375</v>
      </c>
      <c r="I155" s="7">
        <f t="shared" si="19"/>
        <v>0.9840459428293985</v>
      </c>
    </row>
    <row r="156" spans="1:9" x14ac:dyDescent="0.25">
      <c r="A156" s="5">
        <v>44166</v>
      </c>
      <c r="B156" s="7">
        <v>3.8042791530961101E-2</v>
      </c>
      <c r="C156" s="7">
        <v>1.60000000000004E-3</v>
      </c>
      <c r="D156" s="7">
        <v>1.3427692893886701E-2</v>
      </c>
      <c r="E156" s="7">
        <v>9.5676291235030395E-2</v>
      </c>
      <c r="F156" s="7">
        <f t="shared" si="16"/>
        <v>1.0380427915309611</v>
      </c>
      <c r="G156" s="7">
        <f t="shared" si="17"/>
        <v>1.0016</v>
      </c>
      <c r="H156" s="7">
        <f t="shared" si="18"/>
        <v>1.0134276928938868</v>
      </c>
      <c r="I156" s="7">
        <f t="shared" si="19"/>
        <v>1.0956762912350304</v>
      </c>
    </row>
    <row r="157" spans="1:9" x14ac:dyDescent="0.25">
      <c r="A157" s="5">
        <v>40817</v>
      </c>
      <c r="B157" s="7">
        <v>4.0293447458549E-2</v>
      </c>
      <c r="C157" s="7">
        <v>8.7999999999999103E-3</v>
      </c>
      <c r="D157" s="7">
        <v>2.7074303376202601E-2</v>
      </c>
      <c r="E157" s="7">
        <v>0.114937695894809</v>
      </c>
      <c r="F157" s="7">
        <f t="shared" si="16"/>
        <v>1.040293447458549</v>
      </c>
      <c r="G157" s="7">
        <f t="shared" si="17"/>
        <v>1.0087999999999999</v>
      </c>
      <c r="H157" s="7">
        <f t="shared" si="18"/>
        <v>1.0270743033762026</v>
      </c>
      <c r="I157" s="7">
        <f t="shared" si="19"/>
        <v>1.114937695894809</v>
      </c>
    </row>
    <row r="158" spans="1:9" x14ac:dyDescent="0.25">
      <c r="A158" s="5">
        <v>44927</v>
      </c>
      <c r="B158" s="7">
        <v>4.1617975729686098E-2</v>
      </c>
      <c r="C158" s="7">
        <v>1.12E-2</v>
      </c>
      <c r="D158" s="7">
        <v>4.9944188654663602E-2</v>
      </c>
      <c r="E158" s="7">
        <v>3.1818305750197701E-2</v>
      </c>
      <c r="F158" s="7">
        <f t="shared" si="16"/>
        <v>1.0416179757296862</v>
      </c>
      <c r="G158" s="7">
        <f t="shared" si="17"/>
        <v>1.0112000000000001</v>
      </c>
      <c r="H158" s="7">
        <f t="shared" si="18"/>
        <v>1.0499441886546637</v>
      </c>
      <c r="I158" s="7">
        <f t="shared" si="19"/>
        <v>1.0318183057501977</v>
      </c>
    </row>
    <row r="159" spans="1:9" x14ac:dyDescent="0.25">
      <c r="A159" s="5">
        <v>40909</v>
      </c>
      <c r="B159" s="7">
        <v>4.2680529871660801E-2</v>
      </c>
      <c r="C159" s="7">
        <v>8.8999999999998993E-3</v>
      </c>
      <c r="D159" s="7">
        <v>1.09973606772457E-2</v>
      </c>
      <c r="E159" s="7">
        <v>0.11132254995242601</v>
      </c>
      <c r="F159" s="7">
        <f t="shared" si="16"/>
        <v>1.0426805298716608</v>
      </c>
      <c r="G159" s="7">
        <f t="shared" si="17"/>
        <v>1.0088999999999999</v>
      </c>
      <c r="H159" s="7">
        <f t="shared" si="18"/>
        <v>1.0109973606772458</v>
      </c>
      <c r="I159" s="7">
        <f t="shared" si="19"/>
        <v>1.111322549952426</v>
      </c>
    </row>
    <row r="160" spans="1:9" x14ac:dyDescent="0.25">
      <c r="A160" s="5">
        <v>43922</v>
      </c>
      <c r="B160" s="7">
        <v>4.3044733982506397E-2</v>
      </c>
      <c r="C160" s="7">
        <v>2.7999999999999102E-3</v>
      </c>
      <c r="D160" s="7">
        <v>0.13835432841845699</v>
      </c>
      <c r="E160" s="7">
        <v>0.102519857573267</v>
      </c>
      <c r="F160" s="7">
        <f t="shared" si="16"/>
        <v>1.0430447339825064</v>
      </c>
      <c r="G160" s="7">
        <f t="shared" si="17"/>
        <v>1.0027999999999999</v>
      </c>
      <c r="H160" s="7">
        <f t="shared" si="18"/>
        <v>1.138354328418457</v>
      </c>
      <c r="I160" s="7">
        <f t="shared" si="19"/>
        <v>1.1025198575732671</v>
      </c>
    </row>
    <row r="161" spans="1:9" x14ac:dyDescent="0.25">
      <c r="A161" s="5">
        <v>45931</v>
      </c>
      <c r="B161" s="7">
        <v>4.3128289840227797E-2</v>
      </c>
      <c r="C161" s="7">
        <v>1.27999999999999E-2</v>
      </c>
      <c r="D161" s="7">
        <v>3.5399690918578898E-2</v>
      </c>
      <c r="E161" s="7">
        <v>2.25866230844451E-2</v>
      </c>
      <c r="F161" s="7">
        <f t="shared" si="16"/>
        <v>1.0431282898402279</v>
      </c>
      <c r="G161" s="7">
        <f t="shared" si="17"/>
        <v>1.0127999999999999</v>
      </c>
      <c r="H161" s="7">
        <f t="shared" si="18"/>
        <v>1.035399690918579</v>
      </c>
      <c r="I161" s="7">
        <f t="shared" si="19"/>
        <v>1.0225866230844451</v>
      </c>
    </row>
    <row r="162" spans="1:9" x14ac:dyDescent="0.25">
      <c r="A162" s="5">
        <v>43282</v>
      </c>
      <c r="B162" s="7">
        <v>4.5323859812264701E-2</v>
      </c>
      <c r="C162" s="7">
        <v>5.4000000000000697E-3</v>
      </c>
      <c r="D162" s="7">
        <v>1.14579439180961E-3</v>
      </c>
      <c r="E162" s="7">
        <v>8.8740156398169304E-2</v>
      </c>
      <c r="F162" s="7">
        <f t="shared" ref="F162:F182" si="20">1+B162</f>
        <v>1.0453238598122647</v>
      </c>
      <c r="G162" s="7">
        <f t="shared" ref="G162:G182" si="21">1+C162</f>
        <v>1.0054000000000001</v>
      </c>
      <c r="H162" s="7">
        <f t="shared" ref="H162:H182" si="22">1+D162</f>
        <v>1.0011457943918096</v>
      </c>
      <c r="I162" s="7">
        <f t="shared" ref="I162:I182" si="23">1+E162</f>
        <v>1.0887401563981693</v>
      </c>
    </row>
    <row r="163" spans="1:9" x14ac:dyDescent="0.25">
      <c r="A163" s="5">
        <v>42095</v>
      </c>
      <c r="B163" s="7">
        <v>4.5563763521729098E-2</v>
      </c>
      <c r="C163" s="7">
        <v>9.5000000000000605E-3</v>
      </c>
      <c r="D163" s="7">
        <v>-5.6670711139720303E-2</v>
      </c>
      <c r="E163" s="7">
        <v>9.9296187683284506E-2</v>
      </c>
      <c r="F163" s="7">
        <f t="shared" si="20"/>
        <v>1.0455637635217292</v>
      </c>
      <c r="G163" s="7">
        <f t="shared" si="21"/>
        <v>1.0095000000000001</v>
      </c>
      <c r="H163" s="7">
        <f t="shared" si="22"/>
        <v>0.94332928886027967</v>
      </c>
      <c r="I163" s="7">
        <f t="shared" si="23"/>
        <v>1.0992961876832845</v>
      </c>
    </row>
    <row r="164" spans="1:9" x14ac:dyDescent="0.25">
      <c r="A164" s="5">
        <v>43617</v>
      </c>
      <c r="B164" s="7">
        <v>4.6765428434653901E-2</v>
      </c>
      <c r="C164" s="7">
        <v>4.6999999999999204E-3</v>
      </c>
      <c r="D164" s="7">
        <v>1.2262585237273501E-2</v>
      </c>
      <c r="E164" s="7">
        <v>4.0575079872204399E-2</v>
      </c>
      <c r="F164" s="7">
        <f t="shared" si="20"/>
        <v>1.0467654284346539</v>
      </c>
      <c r="G164" s="7">
        <f t="shared" si="21"/>
        <v>1.0046999999999999</v>
      </c>
      <c r="H164" s="7">
        <f t="shared" si="22"/>
        <v>1.0122625852372735</v>
      </c>
      <c r="I164" s="7">
        <f t="shared" si="23"/>
        <v>1.0405750798722044</v>
      </c>
    </row>
    <row r="165" spans="1:9" x14ac:dyDescent="0.25">
      <c r="A165" s="5">
        <v>44136</v>
      </c>
      <c r="B165" s="7">
        <v>4.8484794499798103E-2</v>
      </c>
      <c r="C165" s="7">
        <v>1.5000000000000499E-3</v>
      </c>
      <c r="D165" s="7">
        <v>3.9028073152133497E-2</v>
      </c>
      <c r="E165" s="7">
        <v>0.15897479564032599</v>
      </c>
      <c r="F165" s="7">
        <f t="shared" si="20"/>
        <v>1.0484847944997981</v>
      </c>
      <c r="G165" s="7">
        <f t="shared" si="21"/>
        <v>1.0015000000000001</v>
      </c>
      <c r="H165" s="7">
        <f t="shared" si="22"/>
        <v>1.0390280731521335</v>
      </c>
      <c r="I165" s="7">
        <f t="shared" si="23"/>
        <v>1.158974795640326</v>
      </c>
    </row>
    <row r="166" spans="1:9" x14ac:dyDescent="0.25">
      <c r="A166" s="5">
        <v>45839</v>
      </c>
      <c r="B166" s="7">
        <v>4.8488554199574298E-2</v>
      </c>
      <c r="C166" s="7">
        <v>1.27999999999999E-2</v>
      </c>
      <c r="D166" s="7">
        <v>3.3796519563049403E-2</v>
      </c>
      <c r="E166" s="7">
        <v>-4.1654963811169898E-2</v>
      </c>
      <c r="F166" s="7">
        <f t="shared" si="20"/>
        <v>1.0484885541995743</v>
      </c>
      <c r="G166" s="7">
        <f t="shared" si="21"/>
        <v>1.0127999999999999</v>
      </c>
      <c r="H166" s="7">
        <f t="shared" si="22"/>
        <v>1.0337965195630494</v>
      </c>
      <c r="I166" s="7">
        <f t="shared" si="23"/>
        <v>0.95834503618883016</v>
      </c>
    </row>
    <row r="167" spans="1:9" x14ac:dyDescent="0.25">
      <c r="A167" s="5">
        <v>45474</v>
      </c>
      <c r="B167" s="7">
        <v>4.8738521680856899E-2</v>
      </c>
      <c r="C167" s="7">
        <v>9.1000000000000993E-3</v>
      </c>
      <c r="D167" s="7">
        <v>2.85107732455256E-2</v>
      </c>
      <c r="E167" s="7">
        <v>3.0224281114061301E-2</v>
      </c>
      <c r="F167" s="7">
        <f t="shared" si="20"/>
        <v>1.0487385216808569</v>
      </c>
      <c r="G167" s="7">
        <f t="shared" si="21"/>
        <v>1.0091000000000001</v>
      </c>
      <c r="H167" s="7">
        <f t="shared" si="22"/>
        <v>1.0285107732455256</v>
      </c>
      <c r="I167" s="7">
        <f t="shared" si="23"/>
        <v>1.0302242811140614</v>
      </c>
    </row>
    <row r="168" spans="1:9" x14ac:dyDescent="0.25">
      <c r="A168" s="5">
        <v>45992</v>
      </c>
      <c r="B168" s="7">
        <v>5.0388758938077802E-2</v>
      </c>
      <c r="C168" s="7">
        <v>1.21999999999999E-2</v>
      </c>
      <c r="D168" s="7">
        <v>2.3790544359713901E-2</v>
      </c>
      <c r="E168" s="7">
        <v>1.29061054113861E-2</v>
      </c>
      <c r="F168" s="7">
        <f t="shared" si="20"/>
        <v>1.0503887589380778</v>
      </c>
      <c r="G168" s="7">
        <f t="shared" si="21"/>
        <v>1.0122</v>
      </c>
      <c r="H168" s="7">
        <f t="shared" si="22"/>
        <v>1.0237905443597139</v>
      </c>
      <c r="I168" s="7">
        <f t="shared" si="23"/>
        <v>1.0129061054113861</v>
      </c>
    </row>
    <row r="169" spans="1:9" x14ac:dyDescent="0.25">
      <c r="A169" s="5">
        <v>44470</v>
      </c>
      <c r="B169" s="7">
        <v>5.0720077686763697E-2</v>
      </c>
      <c r="C169" s="7">
        <v>4.8999999999999001E-3</v>
      </c>
      <c r="D169" s="7">
        <v>9.8371253033431305E-2</v>
      </c>
      <c r="E169" s="7">
        <v>-6.73821173375143E-2</v>
      </c>
      <c r="F169" s="7">
        <f t="shared" si="20"/>
        <v>1.0507200776867638</v>
      </c>
      <c r="G169" s="7">
        <f t="shared" si="21"/>
        <v>1.0048999999999999</v>
      </c>
      <c r="H169" s="7">
        <f t="shared" si="22"/>
        <v>1.0983712530334313</v>
      </c>
      <c r="I169" s="7">
        <f t="shared" si="23"/>
        <v>0.93261788266248569</v>
      </c>
    </row>
    <row r="170" spans="1:9" x14ac:dyDescent="0.25">
      <c r="A170" s="5">
        <v>41852</v>
      </c>
      <c r="B170" s="7">
        <v>5.10430843331399E-2</v>
      </c>
      <c r="C170" s="7">
        <v>8.5999999999999393E-3</v>
      </c>
      <c r="D170" s="7">
        <v>2.09601732405253E-2</v>
      </c>
      <c r="E170" s="7">
        <v>9.7780723280015802E-2</v>
      </c>
      <c r="F170" s="7">
        <f t="shared" si="20"/>
        <v>1.05104308433314</v>
      </c>
      <c r="G170" s="7">
        <f t="shared" si="21"/>
        <v>1.0085999999999999</v>
      </c>
      <c r="H170" s="7">
        <f t="shared" si="22"/>
        <v>1.0209601732405253</v>
      </c>
      <c r="I170" s="7">
        <f t="shared" si="23"/>
        <v>1.0977807232800159</v>
      </c>
    </row>
    <row r="171" spans="1:9" x14ac:dyDescent="0.25">
      <c r="A171" s="5">
        <v>44743</v>
      </c>
      <c r="B171" s="7">
        <v>5.1099931992130497E-2</v>
      </c>
      <c r="C171" s="7">
        <v>1.02999999999999E-2</v>
      </c>
      <c r="D171" s="7">
        <v>7.5411401595044003E-2</v>
      </c>
      <c r="E171" s="7">
        <v>4.6914006210549697E-2</v>
      </c>
      <c r="F171" s="7">
        <f t="shared" si="20"/>
        <v>1.0510999319921306</v>
      </c>
      <c r="G171" s="7">
        <f t="shared" si="21"/>
        <v>1.0103</v>
      </c>
      <c r="H171" s="7">
        <f t="shared" si="22"/>
        <v>1.075411401595044</v>
      </c>
      <c r="I171" s="7">
        <f t="shared" si="23"/>
        <v>1.0469140062105498</v>
      </c>
    </row>
    <row r="172" spans="1:9" x14ac:dyDescent="0.25">
      <c r="A172" s="5">
        <v>43374</v>
      </c>
      <c r="B172" s="7">
        <v>5.2668727235003203E-2</v>
      </c>
      <c r="C172" s="7">
        <v>5.4000000000000697E-3</v>
      </c>
      <c r="D172" s="7">
        <v>-0.15467848397021899</v>
      </c>
      <c r="E172" s="7">
        <v>0.101862821708552</v>
      </c>
      <c r="F172" s="7">
        <f t="shared" si="20"/>
        <v>1.0526687272350033</v>
      </c>
      <c r="G172" s="7">
        <f t="shared" si="21"/>
        <v>1.0054000000000001</v>
      </c>
      <c r="H172" s="7">
        <f t="shared" si="22"/>
        <v>0.84532151602978101</v>
      </c>
      <c r="I172" s="7">
        <f t="shared" si="23"/>
        <v>1.101862821708552</v>
      </c>
    </row>
    <row r="173" spans="1:9" x14ac:dyDescent="0.25">
      <c r="A173" s="5">
        <v>44013</v>
      </c>
      <c r="B173" s="7">
        <v>5.3277853395070997E-2</v>
      </c>
      <c r="C173" s="7">
        <v>1.90000000000001E-3</v>
      </c>
      <c r="D173" s="7">
        <v>9.3920038893815505E-3</v>
      </c>
      <c r="E173" s="7">
        <v>8.2646019188688802E-2</v>
      </c>
      <c r="F173" s="7">
        <f t="shared" si="20"/>
        <v>1.0532778533950711</v>
      </c>
      <c r="G173" s="7">
        <f t="shared" si="21"/>
        <v>1.0019</v>
      </c>
      <c r="H173" s="7">
        <f t="shared" si="22"/>
        <v>1.0093920038893816</v>
      </c>
      <c r="I173" s="7">
        <f t="shared" si="23"/>
        <v>1.0826460191886889</v>
      </c>
    </row>
    <row r="174" spans="1:9" x14ac:dyDescent="0.25">
      <c r="A174" s="5">
        <v>42430</v>
      </c>
      <c r="B174" s="7">
        <v>5.3334939601800302E-2</v>
      </c>
      <c r="C174" s="7">
        <v>1.1599999999999999E-2</v>
      </c>
      <c r="D174" s="7">
        <v>-2.44863948048843E-2</v>
      </c>
      <c r="E174" s="7">
        <v>0.169673318689535</v>
      </c>
      <c r="F174" s="7">
        <f t="shared" si="20"/>
        <v>1.0533349396018004</v>
      </c>
      <c r="G174" s="7">
        <f t="shared" si="21"/>
        <v>1.0116000000000001</v>
      </c>
      <c r="H174" s="7">
        <f t="shared" si="22"/>
        <v>0.97551360519511565</v>
      </c>
      <c r="I174" s="7">
        <f t="shared" si="23"/>
        <v>1.1696733186895349</v>
      </c>
    </row>
    <row r="175" spans="1:9" x14ac:dyDescent="0.25">
      <c r="A175" s="5">
        <v>45261</v>
      </c>
      <c r="B175" s="7">
        <v>5.4398519289960499E-2</v>
      </c>
      <c r="C175" s="7">
        <v>8.8999999999998993E-3</v>
      </c>
      <c r="D175" s="7">
        <v>2.94415461347232E-2</v>
      </c>
      <c r="E175" s="7">
        <v>5.3828211511729201E-2</v>
      </c>
      <c r="F175" s="7">
        <f t="shared" si="20"/>
        <v>1.0543985192899605</v>
      </c>
      <c r="G175" s="7">
        <f t="shared" si="21"/>
        <v>1.0088999999999999</v>
      </c>
      <c r="H175" s="7">
        <f t="shared" si="22"/>
        <v>1.0294415461347233</v>
      </c>
      <c r="I175" s="7">
        <f t="shared" si="23"/>
        <v>1.0538282115117292</v>
      </c>
    </row>
    <row r="176" spans="1:9" x14ac:dyDescent="0.25">
      <c r="A176" s="5">
        <v>43466</v>
      </c>
      <c r="B176" s="7">
        <v>5.8449715234484702E-2</v>
      </c>
      <c r="C176" s="7">
        <v>5.4000000000000697E-3</v>
      </c>
      <c r="D176" s="7">
        <v>3.4054613179711202E-2</v>
      </c>
      <c r="E176" s="7">
        <v>0.10817299486841001</v>
      </c>
      <c r="F176" s="7">
        <f t="shared" si="20"/>
        <v>1.0584497152344847</v>
      </c>
      <c r="G176" s="7">
        <f t="shared" si="21"/>
        <v>1.0054000000000001</v>
      </c>
      <c r="H176" s="7">
        <f t="shared" si="22"/>
        <v>1.0340546131797113</v>
      </c>
      <c r="I176" s="7">
        <f t="shared" si="23"/>
        <v>1.10817299486841</v>
      </c>
    </row>
    <row r="177" spans="1:9" x14ac:dyDescent="0.25">
      <c r="A177" s="5">
        <v>44866</v>
      </c>
      <c r="B177" s="7">
        <v>6.2721086300839599E-2</v>
      </c>
      <c r="C177" s="7">
        <v>1.01999999999999E-2</v>
      </c>
      <c r="D177" s="7">
        <v>7.8670074043015195E-2</v>
      </c>
      <c r="E177" s="7">
        <v>-3.0602307884554002E-2</v>
      </c>
      <c r="F177" s="7">
        <f t="shared" si="20"/>
        <v>1.0627210863008396</v>
      </c>
      <c r="G177" s="7">
        <f t="shared" si="21"/>
        <v>1.0102</v>
      </c>
      <c r="H177" s="7">
        <f t="shared" si="22"/>
        <v>1.0786700740430153</v>
      </c>
      <c r="I177" s="7">
        <f t="shared" si="23"/>
        <v>0.96939769211544602</v>
      </c>
    </row>
    <row r="178" spans="1:9" x14ac:dyDescent="0.25">
      <c r="A178" s="5">
        <v>43101</v>
      </c>
      <c r="B178" s="7">
        <v>6.9065174710739294E-2</v>
      </c>
      <c r="C178" s="7">
        <v>5.8000000000000204E-3</v>
      </c>
      <c r="D178" s="7">
        <v>1.9642668953602602E-2</v>
      </c>
      <c r="E178" s="7">
        <v>0.11139760739247601</v>
      </c>
      <c r="F178" s="7">
        <f t="shared" si="20"/>
        <v>1.0690651747107394</v>
      </c>
      <c r="G178" s="7">
        <f t="shared" si="21"/>
        <v>1.0058</v>
      </c>
      <c r="H178" s="7">
        <f t="shared" si="22"/>
        <v>1.0196426689536027</v>
      </c>
      <c r="I178" s="7">
        <f t="shared" si="23"/>
        <v>1.1113976073924761</v>
      </c>
    </row>
    <row r="179" spans="1:9" x14ac:dyDescent="0.25">
      <c r="A179" s="5">
        <v>45778</v>
      </c>
      <c r="B179" s="7">
        <v>7.0446872637098507E-2</v>
      </c>
      <c r="C179" s="7">
        <v>1.14E-2</v>
      </c>
      <c r="D179" s="7">
        <v>6.6552699528409101E-2</v>
      </c>
      <c r="E179" s="7">
        <v>1.4511316605832599E-2</v>
      </c>
      <c r="F179" s="7">
        <f t="shared" si="20"/>
        <v>1.0704468726370986</v>
      </c>
      <c r="G179" s="7">
        <f t="shared" si="21"/>
        <v>1.0114000000000001</v>
      </c>
      <c r="H179" s="7">
        <f t="shared" si="22"/>
        <v>1.0665526995284091</v>
      </c>
      <c r="I179" s="7">
        <f t="shared" si="23"/>
        <v>1.0145113166058326</v>
      </c>
    </row>
    <row r="180" spans="1:9" x14ac:dyDescent="0.25">
      <c r="A180" s="5">
        <v>45231</v>
      </c>
      <c r="B180" s="7">
        <v>7.0942380316926401E-2</v>
      </c>
      <c r="C180" s="7">
        <v>9.2000000000000901E-3</v>
      </c>
      <c r="D180" s="7">
        <v>5.9419084392828801E-2</v>
      </c>
      <c r="E180" s="7">
        <v>0.12538888496075801</v>
      </c>
      <c r="F180" s="7">
        <f t="shared" si="20"/>
        <v>1.0709423803169265</v>
      </c>
      <c r="G180" s="7">
        <f t="shared" si="21"/>
        <v>1.0092000000000001</v>
      </c>
      <c r="H180" s="7">
        <f t="shared" si="22"/>
        <v>1.0594190843928288</v>
      </c>
      <c r="I180" s="7">
        <f t="shared" si="23"/>
        <v>1.1253888849607581</v>
      </c>
    </row>
    <row r="181" spans="1:9" x14ac:dyDescent="0.25">
      <c r="A181" s="5">
        <v>45597</v>
      </c>
      <c r="B181" s="7">
        <v>7.3262589634073005E-2</v>
      </c>
      <c r="C181" s="7">
        <v>7.9000000000000094E-3</v>
      </c>
      <c r="D181" s="7">
        <v>7.9537130004266599E-2</v>
      </c>
      <c r="E181" s="7">
        <v>-3.1184229799634498E-2</v>
      </c>
      <c r="F181" s="7">
        <f t="shared" si="20"/>
        <v>1.0732625896340731</v>
      </c>
      <c r="G181" s="7">
        <f t="shared" si="21"/>
        <v>1.0079</v>
      </c>
      <c r="H181" s="7">
        <f t="shared" si="22"/>
        <v>1.0795371300042667</v>
      </c>
      <c r="I181" s="7">
        <f t="shared" si="23"/>
        <v>0.96881577020036547</v>
      </c>
    </row>
    <row r="182" spans="1:9" x14ac:dyDescent="0.25">
      <c r="A182" s="5">
        <v>45444</v>
      </c>
      <c r="B182" s="7">
        <v>8.0536314922926303E-2</v>
      </c>
      <c r="C182" s="7">
        <v>7.9000000000000094E-3</v>
      </c>
      <c r="D182" s="7">
        <v>8.6448687592296E-2</v>
      </c>
      <c r="E182" s="7">
        <v>1.48159675015151E-2</v>
      </c>
      <c r="F182" s="7">
        <f t="shared" si="20"/>
        <v>1.0805363149229263</v>
      </c>
      <c r="G182" s="7">
        <f t="shared" si="21"/>
        <v>1.0079</v>
      </c>
      <c r="H182" s="7">
        <f t="shared" si="22"/>
        <v>1.0864486875922961</v>
      </c>
      <c r="I182" s="7">
        <f t="shared" si="23"/>
        <v>1.0148159675015151</v>
      </c>
    </row>
    <row r="184" spans="1:9" x14ac:dyDescent="0.25">
      <c r="F184" s="2">
        <f>PRODUCT(F2:F182)</f>
        <v>4.4695428091196838</v>
      </c>
      <c r="G184" s="2">
        <f>PRODUCT(G2:G182)</f>
        <v>4.0528884234101223</v>
      </c>
      <c r="H184" s="2">
        <f>PRODUCT(H2:H182)</f>
        <v>13.631595442919446</v>
      </c>
      <c r="I184" s="2">
        <f>PRODUCT(I2:I182)</f>
        <v>2.6168963278262827</v>
      </c>
    </row>
    <row r="185" spans="1:9" x14ac:dyDescent="0.25">
      <c r="F185" s="2">
        <f>COUNT(F2:F182)</f>
        <v>181</v>
      </c>
      <c r="G185" s="2">
        <f>COUNT(G2:G182)</f>
        <v>181</v>
      </c>
      <c r="H185" s="2">
        <f>COUNT(H2:H182)</f>
        <v>181</v>
      </c>
      <c r="I185" s="2">
        <f>COUNT(I2:I182)</f>
        <v>181</v>
      </c>
    </row>
    <row r="186" spans="1:9" x14ac:dyDescent="0.25">
      <c r="F186" s="2">
        <f>F185/12</f>
        <v>15.083333333333334</v>
      </c>
      <c r="G186" s="2">
        <f>G185/12</f>
        <v>15.083333333333334</v>
      </c>
      <c r="H186" s="2">
        <f>H185/12</f>
        <v>15.083333333333334</v>
      </c>
      <c r="I186" s="2">
        <f>I185/12</f>
        <v>15.083333333333334</v>
      </c>
    </row>
    <row r="187" spans="1:9" x14ac:dyDescent="0.25">
      <c r="E187" s="1" t="s">
        <v>8</v>
      </c>
      <c r="F187" s="3">
        <f>((F184)^(1/F186))-1</f>
        <v>0.10436177431633498</v>
      </c>
      <c r="G187" s="3">
        <f>((G184)^(1/G186))-1</f>
        <v>9.7220185755323651E-2</v>
      </c>
      <c r="H187" s="3">
        <f>((H184)^(1/H186))-1</f>
        <v>0.18910050894841435</v>
      </c>
      <c r="I187" s="3">
        <f>((I184)^(1/I186))-1</f>
        <v>6.5856047509202709E-2</v>
      </c>
    </row>
    <row r="189" spans="1:9" x14ac:dyDescent="0.25">
      <c r="E189" s="1" t="s">
        <v>9</v>
      </c>
      <c r="F189" s="3">
        <f>(_xlfn.STDEV.S(F2:F182))*SQRT(12)</f>
        <v>0.10105840636734227</v>
      </c>
      <c r="G189" s="3">
        <f t="shared" ref="G189:I189" si="24">(_xlfn.STDEV.S(G2:G182))*SQRT(12)</f>
        <v>1.0009154557401924E-2</v>
      </c>
      <c r="H189" s="3">
        <f t="shared" si="24"/>
        <v>0.15462521094919368</v>
      </c>
      <c r="I189" s="3">
        <f t="shared" si="24"/>
        <v>0.21116519866251179</v>
      </c>
    </row>
    <row r="191" spans="1:9" x14ac:dyDescent="0.25">
      <c r="E191" s="1" t="s">
        <v>10</v>
      </c>
      <c r="F191" s="3" t="e">
        <f>MIN(#REF!)</f>
        <v>#REF!</v>
      </c>
      <c r="G191" s="3" t="e">
        <f>MIN(#REF!)</f>
        <v>#REF!</v>
      </c>
    </row>
  </sheetData>
  <autoFilter ref="A1:I182" xr:uid="{695E2C63-CFAD-4735-B42D-9836B3BF66DE}">
    <sortState xmlns:xlrd2="http://schemas.microsoft.com/office/spreadsheetml/2017/richdata2" ref="A2:I182">
      <sortCondition ref="B1:B18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Cell output 5 (DW)</vt:lpstr>
      <vt:lpstr>CVar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Bertin</cp:lastModifiedBy>
  <dcterms:created xsi:type="dcterms:W3CDTF">2026-02-23T18:45:07Z</dcterms:created>
  <dcterms:modified xsi:type="dcterms:W3CDTF">2026-04-10T18:59:34Z</dcterms:modified>
</cp:coreProperties>
</file>